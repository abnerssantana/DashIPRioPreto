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bner/Documents/IPB/dashboard-despesas/"/>
    </mc:Choice>
  </mc:AlternateContent>
  <xr:revisionPtr revIDLastSave="0" documentId="13_ncr:1_{6BA6BBD8-3920-9B45-A033-98202F8490BA}" xr6:coauthVersionLast="47" xr6:coauthVersionMax="47" xr10:uidLastSave="{00000000-0000-0000-0000-000000000000}"/>
  <bookViews>
    <workbookView xWindow="0" yWindow="620" windowWidth="33600" windowHeight="20380" xr2:uid="{DD179F22-A06B-8544-9C53-32AB49C8675D}"/>
  </bookViews>
  <sheets>
    <sheet name="Receita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3" l="1"/>
  <c r="N27" i="3"/>
  <c r="O28" i="3"/>
  <c r="O7" i="3"/>
  <c r="O8" i="3"/>
  <c r="N39" i="3"/>
  <c r="O40" i="3" s="1"/>
  <c r="N52" i="3"/>
  <c r="C52" i="3"/>
  <c r="D52" i="3"/>
  <c r="E52" i="3"/>
  <c r="F52" i="3"/>
  <c r="G52" i="3"/>
  <c r="H52" i="3"/>
  <c r="I52" i="3"/>
  <c r="J52" i="3"/>
  <c r="K52" i="3"/>
  <c r="L52" i="3"/>
  <c r="M52" i="3"/>
  <c r="B52" i="3"/>
  <c r="N2" i="3"/>
  <c r="F43" i="3"/>
  <c r="G43" i="3"/>
  <c r="G50" i="3" s="1"/>
  <c r="H43" i="3"/>
  <c r="H50" i="3" s="1"/>
  <c r="I43" i="3"/>
  <c r="I50" i="3" s="1"/>
  <c r="J43" i="3"/>
  <c r="J50" i="3" s="1"/>
  <c r="K43" i="3"/>
  <c r="K50" i="3" s="1"/>
  <c r="L43" i="3"/>
  <c r="L50" i="3" s="1"/>
  <c r="M43" i="3"/>
  <c r="M50" i="3"/>
  <c r="G10" i="3"/>
  <c r="H10" i="3"/>
  <c r="I10" i="3"/>
  <c r="J10" i="3"/>
  <c r="K10" i="3"/>
  <c r="L10" i="3"/>
  <c r="M10" i="3"/>
  <c r="F10" i="3"/>
  <c r="N3" i="3"/>
  <c r="N4" i="3"/>
  <c r="N7" i="3"/>
  <c r="N8" i="3"/>
  <c r="N9" i="3"/>
  <c r="N10" i="3"/>
  <c r="N12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8" i="3"/>
  <c r="N30" i="3"/>
  <c r="N31" i="3"/>
  <c r="N32" i="3"/>
  <c r="N33" i="3"/>
  <c r="N34" i="3"/>
  <c r="N35" i="3"/>
  <c r="N36" i="3"/>
  <c r="N37" i="3"/>
  <c r="N38" i="3"/>
  <c r="N40" i="3"/>
  <c r="N41" i="3"/>
  <c r="N42" i="3"/>
  <c r="N44" i="3"/>
  <c r="N45" i="3"/>
  <c r="N46" i="3"/>
  <c r="N47" i="3"/>
  <c r="N48" i="3"/>
  <c r="G49" i="3"/>
  <c r="H49" i="3"/>
  <c r="I49" i="3"/>
  <c r="J49" i="3"/>
  <c r="K49" i="3"/>
  <c r="L49" i="3"/>
  <c r="M49" i="3"/>
  <c r="F49" i="3"/>
  <c r="N43" i="3" l="1"/>
  <c r="F50" i="3"/>
  <c r="N49" i="3"/>
  <c r="N50" i="3" l="1"/>
</calcChain>
</file>

<file path=xl/sharedStrings.xml><?xml version="1.0" encoding="utf-8"?>
<sst xmlns="http://schemas.openxmlformats.org/spreadsheetml/2006/main" count="62" uniqueCount="57">
  <si>
    <t>A) DIZIMAVEIS IGREJA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</si>
  <si>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</si>
  <si>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</si>
  <si>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</si>
  <si>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</si>
  <si>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</si>
  <si>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</si>
  <si>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</si>
  <si>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</si>
  <si>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</si>
  <si>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</si>
  <si>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</si>
  <si>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</si>
  <si>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</si>
  <si>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Dízimo</t>
  </si>
  <si>
    <t>Ofertas</t>
  </si>
  <si>
    <t>Total dizimáveis Igreja:</t>
  </si>
  <si>
    <t>DIZIMAVEIS NOVA GRANADA</t>
  </si>
  <si>
    <t>Total dizimáveis Nova Granada</t>
  </si>
  <si>
    <t>Total geral de dizimáveis:</t>
  </si>
  <si>
    <t>B) NÃO DIZIMAVEIS IGREJA</t>
  </si>
  <si>
    <t>Biblia de Genebra</t>
  </si>
  <si>
    <t>Chácara:</t>
  </si>
  <si>
    <t>Aluguel</t>
  </si>
  <si>
    <t>Entrada aluguel federação UCP</t>
  </si>
  <si>
    <t>Aluguel IPI</t>
  </si>
  <si>
    <t>Aluguel Igreja Nazareno</t>
  </si>
  <si>
    <t>Aluguel Igreja Menonita</t>
  </si>
  <si>
    <t>Condominio Pr. Misael (restituição)</t>
  </si>
  <si>
    <t>Campanha nova área e templo - obs: meses março, abril e maio - stone</t>
  </si>
  <si>
    <t>Devolução valor cond. Rev. Misael pago duplicado</t>
  </si>
  <si>
    <t>Devolução de verba</t>
  </si>
  <si>
    <t>Futebol dos irmãos</t>
  </si>
  <si>
    <t>Livros:</t>
  </si>
  <si>
    <t>Livros "Amós" do  Pr. Misael</t>
  </si>
  <si>
    <t>Oferta Açao Social</t>
  </si>
  <si>
    <t>Oferta Construção</t>
  </si>
  <si>
    <t>Oferta Missionária</t>
  </si>
  <si>
    <t>Outras Restituiçoes:</t>
  </si>
  <si>
    <t>Depósito Presb. Rogério na conta (bradesco)</t>
  </si>
  <si>
    <t>Devolução de verba som e multimídia</t>
  </si>
  <si>
    <t>Devolução verba viagem UMP Uruguai</t>
  </si>
  <si>
    <t>Devlução de verba UPA 2024</t>
  </si>
  <si>
    <t>Oferta porta de correr Nova Granada (proprietario)</t>
  </si>
  <si>
    <t>Devolução ajudas</t>
  </si>
  <si>
    <t>Devolução lanche camarim Banda Purples</t>
  </si>
  <si>
    <t>PRIP Seminaristas mensalidades</t>
  </si>
  <si>
    <t>Rendimentos:</t>
  </si>
  <si>
    <t>Bradesco</t>
  </si>
  <si>
    <t xml:space="preserve">Sicoob </t>
  </si>
  <si>
    <t>Caixa</t>
  </si>
  <si>
    <t>Restituição empréstimo Presb. Marcus 7/36</t>
  </si>
  <si>
    <t>Total Não Dizimáveis Igreja:</t>
  </si>
  <si>
    <t>NÃO DIZIMAVEIS NOVA GRANDA</t>
  </si>
  <si>
    <t>Total não dizimáveis Nova Granada:</t>
  </si>
  <si>
    <t>Total geral de não dizimáveis:</t>
  </si>
  <si>
    <t>Total GERAL de Receitas: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</si>
</sst>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name val="Aptos Narrow"/>
      <family val="2"/>
      <scheme val="minor"/>
    </font>
    <font>
      <b/>
      <u/>
      <sz val="15"/>
      <color rgb="FF000000"/>
      <name val="Aptos Narrow"/>
      <scheme val="minor"/>
    </font>
    <font>
      <b/>
      <sz val="14"/>
      <color rgb="FF000000"/>
      <name val="Aptos Narrow"/>
      <family val="2"/>
      <scheme val="minor"/>
    </font>
    <font>
      <b/>
      <sz val="14"/>
      <color rgb="FF000000"/>
      <name val="Aptos Narrow"/>
      <scheme val="minor"/>
    </font>
    <font>
      <sz val="14"/>
      <color rgb="FF000000"/>
      <name val="Aptos Narrow"/>
      <scheme val="minor"/>
    </font>
    <font>
      <b/>
      <sz val="14"/>
      <color rgb="FF196B24"/>
      <name val="Aptos Narrow"/>
      <scheme val="minor"/>
    </font>
    <font>
      <sz val="14"/>
      <color rgb="FF4EA72E"/>
      <name val="Aptos Narrow"/>
      <family val="2"/>
      <scheme val="minor"/>
    </font>
    <font>
      <b/>
      <sz val="14"/>
      <color rgb="FF4EA72E"/>
      <name val="Aptos Narrow"/>
      <scheme val="minor"/>
    </font>
    <font>
      <b/>
      <u/>
      <sz val="14"/>
      <color rgb="FF000000"/>
      <name val="Aptos Narrow"/>
      <scheme val="minor"/>
    </font>
    <font>
      <b/>
      <sz val="14"/>
      <color rgb="FF3C7D22"/>
      <name val="Aptos Narrow"/>
      <scheme val="minor"/>
    </font>
    <font>
      <b/>
      <u/>
      <sz val="16"/>
      <color rgb="FF000000"/>
      <name val="Aptos Narrow"/>
      <scheme val="minor"/>
    </font>
    <font>
      <b/>
      <sz val="16"/>
      <color rgb="FF4EA72E"/>
      <name val="Aptos Narrow"/>
      <scheme val="minor"/>
    </font>
    <font>
      <b/>
      <sz val="16"/>
      <color rgb="FF196B24"/>
      <name val="Aptos Narrow"/>
      <scheme val="minor"/>
    </font>
    <font>
      <sz val="16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B5E6A2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5" fillId="0" borderId="1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164" fontId="7" fillId="3" borderId="3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12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left"/>
    </xf>
    <xf numFmtId="0" fontId="14" fillId="4" borderId="1" xfId="0" applyFont="1" applyFill="1" applyBorder="1" applyAlignment="1">
      <alignment horizontal="left"/>
    </xf>
    <xf numFmtId="0" fontId="17" fillId="0" borderId="0" xfId="0" applyFont="1"/>
    <xf numFmtId="164" fontId="3" fillId="0" borderId="5" xfId="0" applyNumberFormat="1" applyFont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10" fillId="0" borderId="5" xfId="0" applyNumberFormat="1" applyFont="1" applyBorder="1" applyAlignment="1">
      <alignment horizontal="right" vertical="center"/>
    </xf>
    <xf numFmtId="164" fontId="10" fillId="2" borderId="5" xfId="0" applyNumberFormat="1" applyFont="1" applyFill="1" applyBorder="1" applyAlignment="1">
      <alignment horizontal="right" vertical="center"/>
    </xf>
    <xf numFmtId="164" fontId="10" fillId="0" borderId="7" xfId="0" applyNumberFormat="1" applyFont="1" applyBorder="1" applyAlignment="1">
      <alignment horizontal="right" vertical="center"/>
    </xf>
    <xf numFmtId="164" fontId="3" fillId="0" borderId="7" xfId="0" applyNumberFormat="1" applyFont="1" applyBorder="1" applyAlignment="1">
      <alignment horizontal="right" vertical="center"/>
    </xf>
    <xf numFmtId="164" fontId="3" fillId="2" borderId="7" xfId="0" applyNumberFormat="1" applyFont="1" applyFill="1" applyBorder="1" applyAlignment="1">
      <alignment horizontal="right" vertical="center"/>
    </xf>
    <xf numFmtId="164" fontId="10" fillId="0" borderId="3" xfId="0" applyNumberFormat="1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64" fontId="4" fillId="0" borderId="5" xfId="0" applyNumberFormat="1" applyFont="1" applyBorder="1" applyAlignment="1">
      <alignment horizontal="right" vertical="center"/>
    </xf>
    <xf numFmtId="164" fontId="11" fillId="0" borderId="5" xfId="0" applyNumberFormat="1" applyFont="1" applyBorder="1" applyAlignment="1">
      <alignment horizontal="right" vertical="center"/>
    </xf>
    <xf numFmtId="164" fontId="4" fillId="2" borderId="5" xfId="0" applyNumberFormat="1" applyFont="1" applyFill="1" applyBorder="1" applyAlignment="1">
      <alignment horizontal="right" vertical="center"/>
    </xf>
    <xf numFmtId="164" fontId="13" fillId="0" borderId="5" xfId="0" applyNumberFormat="1" applyFont="1" applyBorder="1" applyAlignment="1">
      <alignment horizontal="right" vertical="center"/>
    </xf>
    <xf numFmtId="164" fontId="15" fillId="0" borderId="5" xfId="0" applyNumberFormat="1" applyFont="1" applyBorder="1" applyAlignment="1">
      <alignment horizontal="right" vertical="center"/>
    </xf>
    <xf numFmtId="164" fontId="9" fillId="3" borderId="5" xfId="0" applyNumberFormat="1" applyFont="1" applyFill="1" applyBorder="1" applyAlignment="1">
      <alignment vertical="center"/>
    </xf>
    <xf numFmtId="164" fontId="16" fillId="3" borderId="5" xfId="0" applyNumberFormat="1" applyFont="1" applyFill="1" applyBorder="1" applyAlignment="1">
      <alignment vertical="center"/>
    </xf>
    <xf numFmtId="164" fontId="2" fillId="0" borderId="6" xfId="2" applyNumberFormat="1" applyFont="1" applyBorder="1" applyAlignment="1">
      <alignment horizontal="right"/>
    </xf>
    <xf numFmtId="164" fontId="0" fillId="0" borderId="0" xfId="0" applyNumberFormat="1"/>
    <xf numFmtId="164" fontId="17" fillId="0" borderId="0" xfId="0" applyNumberFormat="1" applyFont="1"/>
  </cellXfs>
  <cellStyles count="3">
    <cellStyle name="Moeda" xfId="2" builtinId="4"/>
    <cellStyle name="Normal" xfId="0" builtinId="0"/>
    <cellStyle name="Normal 2" xfId="1" xr:uid="{840D84C3-44C0-3948-ACE6-BCC166B5BD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073B-365F-DA4B-A9F8-BBC19E0DEDCB}">
  <dimension ref="A1:O52"/>
  <sheetViews>
    <sheetView tabSelected="1" topLeftCell="A45" zoomScaleNormal="100" workbookViewId="0">
      <pane xSplit="1" topLeftCell="G1" activePane="topRight" state="frozen"/>
      <selection pane="topRight" activeCell="N58" sqref="N58"/>
    </sheetView>
  </sheetViews>
  <sheetFormatPr baseColWidth="10" defaultColWidth="11" defaultRowHeight="16" x14ac:dyDescent="0.2"/>
  <cols>
    <col min="1" max="1" width="48.6640625" bestFit="1" customWidth="1"/>
    <col min="2" max="4" width="19" bestFit="1" customWidth="1"/>
    <col min="5" max="5" width="21.33203125" bestFit="1" customWidth="1"/>
    <col min="6" max="13" width="19" bestFit="1" customWidth="1"/>
    <col min="14" max="14" width="21.33203125" bestFit="1" customWidth="1"/>
    <col min="15" max="15" width="15.5" bestFit="1" customWidth="1"/>
  </cols>
  <sheetData>
    <row r="1" spans="1:15" ht="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5" ht="19" x14ac:dyDescent="0.25">
      <c r="A2" s="5" t="s">
        <v>14</v>
      </c>
      <c r="B2" s="17">
        <v>155797.48000000001</v>
      </c>
      <c r="C2" s="17">
        <v>150016.51</v>
      </c>
      <c r="D2" s="17">
        <v>171708.01</v>
      </c>
      <c r="E2" s="17">
        <v>148577.43</v>
      </c>
      <c r="F2" s="17">
        <v>149549.32999999999</v>
      </c>
      <c r="G2" s="17">
        <v>250268.46</v>
      </c>
      <c r="H2" s="18">
        <v>165846.70000000001</v>
      </c>
      <c r="I2" s="17">
        <v>215527.5</v>
      </c>
      <c r="J2" s="17">
        <v>136829.12</v>
      </c>
      <c r="K2" s="17">
        <v>215729.74</v>
      </c>
      <c r="L2" s="17">
        <v>234499.37</v>
      </c>
      <c r="M2" s="17">
        <v>275977.84000000003</v>
      </c>
      <c r="N2" s="32">
        <f>SUM(B2:M2)</f>
        <v>2270327.4899999998</v>
      </c>
    </row>
    <row r="3" spans="1:15" ht="19" x14ac:dyDescent="0.25">
      <c r="A3" s="5" t="s">
        <v>15</v>
      </c>
      <c r="B3" s="17">
        <v>1280</v>
      </c>
      <c r="C3" s="17">
        <v>1206.5</v>
      </c>
      <c r="D3" s="17">
        <v>3037.5</v>
      </c>
      <c r="E3" s="17">
        <v>1572.2</v>
      </c>
      <c r="F3" s="17">
        <v>562</v>
      </c>
      <c r="G3" s="17">
        <v>3806.85</v>
      </c>
      <c r="H3" s="18">
        <v>1050</v>
      </c>
      <c r="I3" s="17">
        <v>2162</v>
      </c>
      <c r="J3" s="17">
        <v>4775</v>
      </c>
      <c r="K3" s="17">
        <v>1162.8499999999999</v>
      </c>
      <c r="L3" s="17">
        <v>1775</v>
      </c>
      <c r="M3" s="17">
        <v>1343.5</v>
      </c>
      <c r="N3" s="32">
        <f t="shared" ref="N3:N50" si="0">SUM(B3:M3)</f>
        <v>23733.399999999998</v>
      </c>
    </row>
    <row r="4" spans="1:15" ht="19" x14ac:dyDescent="0.25">
      <c r="A4" s="6" t="s">
        <v>16</v>
      </c>
      <c r="B4" s="19">
        <v>157077.48000000001</v>
      </c>
      <c r="C4" s="19">
        <v>151223.01</v>
      </c>
      <c r="D4" s="19">
        <v>174745.51</v>
      </c>
      <c r="E4" s="19">
        <v>150149.63</v>
      </c>
      <c r="F4" s="19">
        <v>150111.32999999999</v>
      </c>
      <c r="G4" s="19">
        <v>254075.31</v>
      </c>
      <c r="H4" s="20">
        <v>166896.70000000001</v>
      </c>
      <c r="I4" s="19">
        <v>217689.5</v>
      </c>
      <c r="J4" s="19">
        <v>141604.12</v>
      </c>
      <c r="K4" s="19">
        <v>216892.59</v>
      </c>
      <c r="L4" s="19">
        <v>236274.37</v>
      </c>
      <c r="M4" s="19">
        <v>277321.34000000003</v>
      </c>
      <c r="N4" s="32">
        <f t="shared" si="0"/>
        <v>2294060.8899999997</v>
      </c>
    </row>
    <row r="5" spans="1:15" ht="19" x14ac:dyDescent="0.25">
      <c r="A5" s="7"/>
      <c r="B5" s="21"/>
      <c r="C5" s="21"/>
      <c r="D5" s="21"/>
      <c r="E5" s="22"/>
      <c r="F5" s="22"/>
      <c r="G5" s="22"/>
      <c r="H5" s="23"/>
      <c r="I5" s="22"/>
      <c r="J5" s="22"/>
      <c r="K5" s="22"/>
      <c r="L5" s="22"/>
      <c r="M5" s="22"/>
      <c r="N5" s="32"/>
    </row>
    <row r="6" spans="1:15" ht="19" x14ac:dyDescent="0.25">
      <c r="A6" s="8" t="s">
        <v>17</v>
      </c>
      <c r="B6" s="24"/>
      <c r="C6" s="24"/>
      <c r="D6" s="24"/>
      <c r="E6" s="25"/>
      <c r="F6" s="25"/>
      <c r="G6" s="25"/>
      <c r="H6" s="26"/>
      <c r="I6" s="25"/>
      <c r="J6" s="25"/>
      <c r="K6" s="25"/>
      <c r="L6" s="25"/>
      <c r="M6" s="25"/>
      <c r="N6" s="32"/>
    </row>
    <row r="7" spans="1:15" ht="19" x14ac:dyDescent="0.25">
      <c r="A7" s="9" t="s">
        <v>14</v>
      </c>
      <c r="B7" s="27">
        <v>0</v>
      </c>
      <c r="C7" s="27">
        <v>0</v>
      </c>
      <c r="D7" s="27">
        <v>0</v>
      </c>
      <c r="E7" s="17">
        <v>3161.8</v>
      </c>
      <c r="F7" s="27">
        <v>4990</v>
      </c>
      <c r="G7" s="17">
        <v>5662.7</v>
      </c>
      <c r="H7" s="18">
        <v>5180</v>
      </c>
      <c r="I7" s="17">
        <v>4380</v>
      </c>
      <c r="J7" s="17">
        <v>5230</v>
      </c>
      <c r="K7" s="17">
        <v>5080</v>
      </c>
      <c r="L7" s="17">
        <v>5630</v>
      </c>
      <c r="M7" s="17">
        <v>5490</v>
      </c>
      <c r="N7" s="32">
        <f t="shared" si="0"/>
        <v>44804.5</v>
      </c>
      <c r="O7" s="35">
        <f>SUM(N7+N2)</f>
        <v>2315131.9899999998</v>
      </c>
    </row>
    <row r="8" spans="1:15" ht="19" x14ac:dyDescent="0.25">
      <c r="A8" s="9" t="s">
        <v>15</v>
      </c>
      <c r="B8" s="27">
        <v>0</v>
      </c>
      <c r="C8" s="27">
        <v>0</v>
      </c>
      <c r="D8" s="27">
        <v>132</v>
      </c>
      <c r="E8" s="17">
        <v>482</v>
      </c>
      <c r="F8" s="27">
        <v>320</v>
      </c>
      <c r="G8" s="17">
        <v>392</v>
      </c>
      <c r="H8" s="18">
        <v>0</v>
      </c>
      <c r="I8" s="17">
        <v>430</v>
      </c>
      <c r="J8" s="17">
        <v>584</v>
      </c>
      <c r="K8" s="17">
        <v>75</v>
      </c>
      <c r="L8" s="17">
        <v>176</v>
      </c>
      <c r="M8" s="17">
        <v>40</v>
      </c>
      <c r="N8" s="32">
        <f t="shared" si="0"/>
        <v>2631</v>
      </c>
      <c r="O8" s="35">
        <f>SUM(N8+N3)</f>
        <v>26364.399999999998</v>
      </c>
    </row>
    <row r="9" spans="1:15" ht="19" x14ac:dyDescent="0.25">
      <c r="A9" s="10" t="s">
        <v>18</v>
      </c>
      <c r="B9" s="19">
        <v>0</v>
      </c>
      <c r="C9" s="19">
        <v>0</v>
      </c>
      <c r="D9" s="19">
        <v>132</v>
      </c>
      <c r="E9" s="19">
        <v>3643.8</v>
      </c>
      <c r="F9" s="19">
        <v>5310</v>
      </c>
      <c r="G9" s="19">
        <v>6054.7</v>
      </c>
      <c r="H9" s="20">
        <v>5180</v>
      </c>
      <c r="I9" s="19">
        <v>4810</v>
      </c>
      <c r="J9" s="19">
        <v>5814</v>
      </c>
      <c r="K9" s="19">
        <v>5155</v>
      </c>
      <c r="L9" s="19">
        <v>5806</v>
      </c>
      <c r="M9" s="19">
        <v>5530</v>
      </c>
      <c r="N9" s="32">
        <f t="shared" si="0"/>
        <v>47435.5</v>
      </c>
    </row>
    <row r="10" spans="1:15" ht="19" x14ac:dyDescent="0.25">
      <c r="A10" s="6" t="s">
        <v>19</v>
      </c>
      <c r="B10" s="28">
        <v>157077.48000000001</v>
      </c>
      <c r="C10" s="28">
        <v>151223.01</v>
      </c>
      <c r="D10" s="28">
        <v>174877.51</v>
      </c>
      <c r="E10" s="28">
        <v>153793.43</v>
      </c>
      <c r="F10" s="28">
        <f>SUM(F4+F9)</f>
        <v>155421.32999999999</v>
      </c>
      <c r="G10" s="28">
        <f t="shared" ref="G10:M10" si="1">SUM(G4+G9)</f>
        <v>260130.01</v>
      </c>
      <c r="H10" s="28">
        <f t="shared" si="1"/>
        <v>172076.7</v>
      </c>
      <c r="I10" s="28">
        <f t="shared" si="1"/>
        <v>222499.5</v>
      </c>
      <c r="J10" s="28">
        <f t="shared" si="1"/>
        <v>147418.12</v>
      </c>
      <c r="K10" s="28">
        <f t="shared" si="1"/>
        <v>222047.59</v>
      </c>
      <c r="L10" s="28">
        <f t="shared" si="1"/>
        <v>242080.37</v>
      </c>
      <c r="M10" s="28">
        <f t="shared" si="1"/>
        <v>282851.34000000003</v>
      </c>
      <c r="N10" s="32">
        <f t="shared" si="0"/>
        <v>2341496.3899999997</v>
      </c>
    </row>
    <row r="11" spans="1:15" ht="20" x14ac:dyDescent="0.25">
      <c r="A11" s="1" t="s">
        <v>20</v>
      </c>
      <c r="B11" s="19"/>
      <c r="C11" s="19"/>
      <c r="D11" s="19"/>
      <c r="E11" s="19"/>
      <c r="F11" s="19"/>
      <c r="G11" s="19"/>
      <c r="H11" s="20"/>
      <c r="I11" s="19"/>
      <c r="J11" s="19"/>
      <c r="K11" s="19"/>
      <c r="L11" s="19"/>
      <c r="M11" s="19"/>
      <c r="N11" s="32"/>
    </row>
    <row r="12" spans="1:15" ht="20" x14ac:dyDescent="0.25">
      <c r="A12" s="11" t="s">
        <v>21</v>
      </c>
      <c r="B12" s="17">
        <v>181.93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8"/>
      <c r="I12" s="17"/>
      <c r="J12" s="17"/>
      <c r="K12" s="17">
        <v>176.34</v>
      </c>
      <c r="L12" s="17"/>
      <c r="M12" s="17">
        <v>354</v>
      </c>
      <c r="N12" s="32">
        <f t="shared" si="0"/>
        <v>712.27</v>
      </c>
    </row>
    <row r="13" spans="1:15" ht="20" x14ac:dyDescent="0.25">
      <c r="A13" s="12" t="s">
        <v>22</v>
      </c>
      <c r="B13" s="17"/>
      <c r="C13" s="17"/>
      <c r="D13" s="17"/>
      <c r="E13" s="17"/>
      <c r="F13" s="17"/>
      <c r="G13" s="17"/>
      <c r="H13" s="18"/>
      <c r="I13" s="17"/>
      <c r="J13" s="17"/>
      <c r="K13" s="17"/>
      <c r="L13" s="17"/>
      <c r="M13" s="17"/>
      <c r="N13" s="32"/>
    </row>
    <row r="14" spans="1:15" ht="20" x14ac:dyDescent="0.25">
      <c r="A14" s="11" t="s">
        <v>23</v>
      </c>
      <c r="B14" s="17">
        <v>0</v>
      </c>
      <c r="C14" s="17">
        <v>7509.4</v>
      </c>
      <c r="D14" s="17">
        <v>0</v>
      </c>
      <c r="E14" s="17">
        <v>0</v>
      </c>
      <c r="F14" s="17">
        <v>0</v>
      </c>
      <c r="G14" s="17">
        <v>0</v>
      </c>
      <c r="H14" s="18"/>
      <c r="I14" s="17"/>
      <c r="J14" s="17"/>
      <c r="K14" s="17">
        <v>3491.4</v>
      </c>
      <c r="L14" s="17"/>
      <c r="M14" s="17"/>
      <c r="N14" s="32">
        <f t="shared" si="0"/>
        <v>11000.8</v>
      </c>
    </row>
    <row r="15" spans="1:15" ht="20" x14ac:dyDescent="0.25">
      <c r="A15" s="11" t="s">
        <v>24</v>
      </c>
      <c r="B15" s="17">
        <v>0</v>
      </c>
      <c r="C15" s="17">
        <v>0</v>
      </c>
      <c r="D15" s="17">
        <v>0</v>
      </c>
      <c r="E15" s="17">
        <v>1973.4</v>
      </c>
      <c r="F15" s="17">
        <v>0</v>
      </c>
      <c r="G15" s="17">
        <v>0</v>
      </c>
      <c r="H15" s="18"/>
      <c r="I15" s="17"/>
      <c r="J15" s="17"/>
      <c r="K15" s="17"/>
      <c r="L15" s="17"/>
      <c r="M15" s="17"/>
      <c r="N15" s="32">
        <f t="shared" si="0"/>
        <v>1973.4</v>
      </c>
    </row>
    <row r="16" spans="1:15" ht="20" x14ac:dyDescent="0.25">
      <c r="A16" s="11" t="s">
        <v>25</v>
      </c>
      <c r="B16" s="17">
        <v>0</v>
      </c>
      <c r="C16" s="17">
        <v>0</v>
      </c>
      <c r="D16" s="17">
        <v>0</v>
      </c>
      <c r="E16" s="17">
        <v>10018.799999999999</v>
      </c>
      <c r="F16" s="17">
        <v>0</v>
      </c>
      <c r="G16" s="17">
        <v>0</v>
      </c>
      <c r="H16" s="18"/>
      <c r="I16" s="17"/>
      <c r="J16" s="17"/>
      <c r="K16" s="17"/>
      <c r="L16" s="17"/>
      <c r="M16" s="17"/>
      <c r="N16" s="32">
        <f t="shared" si="0"/>
        <v>10018.799999999999</v>
      </c>
    </row>
    <row r="17" spans="1:15" ht="20" x14ac:dyDescent="0.25">
      <c r="A17" s="11" t="s">
        <v>26</v>
      </c>
      <c r="B17" s="17">
        <v>0</v>
      </c>
      <c r="C17" s="17">
        <v>0</v>
      </c>
      <c r="D17" s="17">
        <v>0</v>
      </c>
      <c r="E17" s="17">
        <v>2509.4</v>
      </c>
      <c r="F17" s="17">
        <v>0</v>
      </c>
      <c r="G17" s="17">
        <v>0</v>
      </c>
      <c r="H17" s="18"/>
      <c r="I17" s="17"/>
      <c r="J17" s="17"/>
      <c r="K17" s="17"/>
      <c r="L17" s="17"/>
      <c r="M17" s="17"/>
      <c r="N17" s="32">
        <f t="shared" si="0"/>
        <v>2509.4</v>
      </c>
    </row>
    <row r="18" spans="1:15" ht="20" x14ac:dyDescent="0.25">
      <c r="A18" s="11" t="s">
        <v>27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5009.3999999999996</v>
      </c>
      <c r="H18" s="18"/>
      <c r="I18" s="17"/>
      <c r="J18" s="17"/>
      <c r="K18" s="17"/>
      <c r="L18" s="17"/>
      <c r="M18" s="17"/>
      <c r="N18" s="32">
        <f t="shared" si="0"/>
        <v>5009.3999999999996</v>
      </c>
    </row>
    <row r="19" spans="1:15" ht="20" x14ac:dyDescent="0.25">
      <c r="A19" s="12" t="s">
        <v>28</v>
      </c>
      <c r="B19" s="17">
        <v>836.22</v>
      </c>
      <c r="C19" s="17">
        <v>805.05</v>
      </c>
      <c r="D19" s="17">
        <v>916.88</v>
      </c>
      <c r="E19" s="17">
        <v>881.74</v>
      </c>
      <c r="F19" s="17">
        <v>895.62</v>
      </c>
      <c r="G19" s="17">
        <v>922.82</v>
      </c>
      <c r="H19" s="18">
        <v>866.2</v>
      </c>
      <c r="I19" s="34">
        <v>865.29</v>
      </c>
      <c r="J19" s="17">
        <v>865.29</v>
      </c>
      <c r="K19" s="17">
        <v>889.18</v>
      </c>
      <c r="L19" s="17">
        <v>861.78</v>
      </c>
      <c r="M19" s="17">
        <v>911.02</v>
      </c>
      <c r="N19" s="32">
        <f t="shared" si="0"/>
        <v>10517.09</v>
      </c>
    </row>
    <row r="20" spans="1:15" ht="40" x14ac:dyDescent="0.25">
      <c r="A20" s="12" t="s">
        <v>29</v>
      </c>
      <c r="B20" s="17">
        <v>0</v>
      </c>
      <c r="C20" s="17">
        <v>0</v>
      </c>
      <c r="D20" s="17">
        <v>0</v>
      </c>
      <c r="E20" s="17">
        <v>0</v>
      </c>
      <c r="F20" s="17">
        <v>946.79</v>
      </c>
      <c r="G20" s="17">
        <v>1017.78</v>
      </c>
      <c r="H20" s="18"/>
      <c r="I20" s="17"/>
      <c r="J20" s="17">
        <v>1950</v>
      </c>
      <c r="K20" s="17">
        <v>1313</v>
      </c>
      <c r="L20" s="17"/>
      <c r="M20" s="17"/>
      <c r="N20" s="32">
        <f t="shared" si="0"/>
        <v>5227.57</v>
      </c>
    </row>
    <row r="21" spans="1:15" ht="20" customHeight="1" x14ac:dyDescent="0.25">
      <c r="A21" s="12" t="s">
        <v>30</v>
      </c>
      <c r="B21" s="17">
        <v>0</v>
      </c>
      <c r="C21" s="17">
        <v>0</v>
      </c>
      <c r="D21" s="17">
        <v>0</v>
      </c>
      <c r="E21" s="17">
        <v>836.22</v>
      </c>
      <c r="F21" s="17">
        <v>0</v>
      </c>
      <c r="G21" s="17">
        <v>0</v>
      </c>
      <c r="H21" s="18"/>
      <c r="I21" s="17"/>
      <c r="J21" s="17"/>
      <c r="K21" s="17"/>
      <c r="L21" s="17"/>
      <c r="M21" s="17"/>
      <c r="N21" s="32">
        <f t="shared" si="0"/>
        <v>836.22</v>
      </c>
    </row>
    <row r="22" spans="1:15" ht="20" x14ac:dyDescent="0.25">
      <c r="A22" s="12" t="s">
        <v>31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8"/>
      <c r="I22" s="17"/>
      <c r="J22" s="17"/>
      <c r="K22" s="17">
        <v>283</v>
      </c>
      <c r="L22" s="17"/>
      <c r="M22" s="17">
        <v>5561.19</v>
      </c>
      <c r="N22" s="32">
        <f t="shared" si="0"/>
        <v>5844.19</v>
      </c>
    </row>
    <row r="23" spans="1:15" ht="20" x14ac:dyDescent="0.25">
      <c r="A23" s="12" t="s">
        <v>32</v>
      </c>
      <c r="B23" s="17">
        <v>205</v>
      </c>
      <c r="C23" s="17">
        <v>40</v>
      </c>
      <c r="D23" s="17">
        <v>60</v>
      </c>
      <c r="E23" s="17">
        <v>20</v>
      </c>
      <c r="F23" s="17">
        <v>5</v>
      </c>
      <c r="G23" s="17">
        <v>0</v>
      </c>
      <c r="H23" s="18"/>
      <c r="I23" s="17"/>
      <c r="J23" s="17"/>
      <c r="K23" s="17"/>
      <c r="L23" s="17"/>
      <c r="M23" s="17"/>
      <c r="N23" s="32">
        <f t="shared" si="0"/>
        <v>330</v>
      </c>
    </row>
    <row r="24" spans="1:15" ht="20" x14ac:dyDescent="0.25">
      <c r="A24" s="12" t="s">
        <v>33</v>
      </c>
      <c r="B24" s="17"/>
      <c r="C24" s="17"/>
      <c r="D24" s="17"/>
      <c r="E24" s="17"/>
      <c r="F24" s="17"/>
      <c r="G24" s="17"/>
      <c r="H24" s="18"/>
      <c r="I24" s="17"/>
      <c r="J24" s="17"/>
      <c r="K24" s="17"/>
      <c r="L24" s="17"/>
      <c r="M24" s="17"/>
      <c r="N24" s="32">
        <f t="shared" si="0"/>
        <v>0</v>
      </c>
    </row>
    <row r="25" spans="1:15" ht="20" x14ac:dyDescent="0.25">
      <c r="A25" s="11" t="s">
        <v>34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414</v>
      </c>
      <c r="H25" s="18">
        <v>122</v>
      </c>
      <c r="I25" s="17"/>
      <c r="J25" s="17"/>
      <c r="K25" s="17"/>
      <c r="L25" s="17"/>
      <c r="M25" s="17"/>
      <c r="N25" s="32">
        <f t="shared" si="0"/>
        <v>536</v>
      </c>
    </row>
    <row r="26" spans="1:15" ht="20" x14ac:dyDescent="0.25">
      <c r="A26" s="12" t="s">
        <v>35</v>
      </c>
      <c r="B26" s="17">
        <v>2284.6</v>
      </c>
      <c r="C26" s="17">
        <v>2162.5</v>
      </c>
      <c r="D26" s="17">
        <v>2562.5</v>
      </c>
      <c r="E26" s="17">
        <v>3334</v>
      </c>
      <c r="F26" s="17">
        <v>3132</v>
      </c>
      <c r="G26" s="17">
        <v>4742</v>
      </c>
      <c r="H26" s="18">
        <v>2589.25</v>
      </c>
      <c r="I26" s="17">
        <v>2993</v>
      </c>
      <c r="J26" s="17">
        <v>3010</v>
      </c>
      <c r="K26" s="17">
        <v>2343.5</v>
      </c>
      <c r="L26" s="17">
        <v>2634.75</v>
      </c>
      <c r="M26" s="17">
        <v>6246.4</v>
      </c>
      <c r="N26" s="32">
        <f t="shared" si="0"/>
        <v>38034.5</v>
      </c>
      <c r="O26" s="35"/>
    </row>
    <row r="27" spans="1:15" ht="20" x14ac:dyDescent="0.25">
      <c r="A27" s="12" t="s">
        <v>36</v>
      </c>
      <c r="B27" s="17">
        <v>1307</v>
      </c>
      <c r="C27" s="17">
        <v>2901</v>
      </c>
      <c r="D27" s="17">
        <v>5092</v>
      </c>
      <c r="E27" s="17">
        <v>1005280</v>
      </c>
      <c r="F27" s="17">
        <v>2634</v>
      </c>
      <c r="G27" s="17">
        <v>5253.5</v>
      </c>
      <c r="H27" s="18">
        <v>2811</v>
      </c>
      <c r="I27" s="17">
        <v>13218</v>
      </c>
      <c r="J27" s="17">
        <v>5832</v>
      </c>
      <c r="K27" s="17">
        <v>9591.02</v>
      </c>
      <c r="L27" s="17">
        <v>10445.1</v>
      </c>
      <c r="M27" s="17">
        <v>79820.31</v>
      </c>
      <c r="N27" s="32">
        <f>SUM(B27:M27)</f>
        <v>1144184.9300000002</v>
      </c>
      <c r="O27" s="35">
        <f>SUM(N27+N47+N26+N46)</f>
        <v>1184778.1800000002</v>
      </c>
    </row>
    <row r="28" spans="1:15" ht="20" x14ac:dyDescent="0.25">
      <c r="A28" s="12" t="s">
        <v>37</v>
      </c>
      <c r="B28" s="17">
        <v>19827.599999999999</v>
      </c>
      <c r="C28" s="17">
        <v>20209</v>
      </c>
      <c r="D28" s="17">
        <v>15547.95</v>
      </c>
      <c r="E28" s="17">
        <v>14707</v>
      </c>
      <c r="F28" s="17">
        <v>19206.5</v>
      </c>
      <c r="G28" s="17">
        <v>16407</v>
      </c>
      <c r="H28" s="18">
        <v>15249.8</v>
      </c>
      <c r="I28" s="17">
        <v>22560.5</v>
      </c>
      <c r="J28" s="17">
        <v>15223</v>
      </c>
      <c r="K28" s="17">
        <v>19022</v>
      </c>
      <c r="L28" s="17">
        <v>17404</v>
      </c>
      <c r="M28" s="17">
        <v>23024.09</v>
      </c>
      <c r="N28" s="32">
        <f t="shared" si="0"/>
        <v>218388.44</v>
      </c>
      <c r="O28" s="35">
        <f>SUM(N28+N48)</f>
        <v>219594.44</v>
      </c>
    </row>
    <row r="29" spans="1:15" ht="20" x14ac:dyDescent="0.25">
      <c r="A29" s="12" t="s">
        <v>38</v>
      </c>
      <c r="B29" s="17"/>
      <c r="C29" s="17"/>
      <c r="D29" s="17"/>
      <c r="E29" s="17"/>
      <c r="F29" s="17"/>
      <c r="G29" s="17"/>
      <c r="H29" s="18"/>
      <c r="I29" s="17"/>
      <c r="J29" s="17"/>
      <c r="K29" s="17"/>
      <c r="L29" s="17"/>
      <c r="M29" s="17"/>
      <c r="N29" s="32"/>
    </row>
    <row r="30" spans="1:15" ht="20" x14ac:dyDescent="0.25">
      <c r="A30" s="11" t="s">
        <v>39</v>
      </c>
      <c r="B30" s="17">
        <v>0</v>
      </c>
      <c r="C30" s="17">
        <v>0</v>
      </c>
      <c r="D30" s="17">
        <v>0</v>
      </c>
      <c r="E30" s="17">
        <v>7000</v>
      </c>
      <c r="F30" s="17">
        <v>0</v>
      </c>
      <c r="G30" s="17">
        <v>0</v>
      </c>
      <c r="H30" s="18"/>
      <c r="I30" s="17"/>
      <c r="J30" s="17"/>
      <c r="K30" s="17"/>
      <c r="L30" s="17"/>
      <c r="M30" s="17"/>
      <c r="N30" s="32">
        <f t="shared" si="0"/>
        <v>7000</v>
      </c>
    </row>
    <row r="31" spans="1:15" ht="20" x14ac:dyDescent="0.25">
      <c r="A31" s="11" t="s">
        <v>40</v>
      </c>
      <c r="B31" s="17"/>
      <c r="C31" s="17"/>
      <c r="D31" s="17">
        <v>184</v>
      </c>
      <c r="E31" s="17">
        <v>0</v>
      </c>
      <c r="F31" s="17">
        <v>0</v>
      </c>
      <c r="G31" s="17">
        <v>0</v>
      </c>
      <c r="H31" s="18"/>
      <c r="I31" s="17"/>
      <c r="J31" s="17"/>
      <c r="K31" s="17"/>
      <c r="L31" s="17"/>
      <c r="M31" s="17"/>
      <c r="N31" s="32">
        <f t="shared" si="0"/>
        <v>184</v>
      </c>
    </row>
    <row r="32" spans="1:15" ht="19" x14ac:dyDescent="0.25">
      <c r="A32" s="5" t="s">
        <v>41</v>
      </c>
      <c r="B32" s="17">
        <v>3000</v>
      </c>
      <c r="C32" s="17">
        <v>539.71</v>
      </c>
      <c r="D32" s="17">
        <v>0</v>
      </c>
      <c r="E32" s="17">
        <v>0</v>
      </c>
      <c r="F32" s="17">
        <v>0</v>
      </c>
      <c r="G32" s="17">
        <v>0</v>
      </c>
      <c r="H32" s="18"/>
      <c r="I32" s="17"/>
      <c r="J32" s="17"/>
      <c r="K32" s="17"/>
      <c r="L32" s="17"/>
      <c r="M32" s="17"/>
      <c r="N32" s="32">
        <f t="shared" si="0"/>
        <v>3539.71</v>
      </c>
    </row>
    <row r="33" spans="1:15" ht="19" x14ac:dyDescent="0.25">
      <c r="A33" s="5" t="s">
        <v>42</v>
      </c>
      <c r="B33" s="17">
        <v>1594.08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8"/>
      <c r="I33" s="17"/>
      <c r="J33" s="17"/>
      <c r="K33" s="17"/>
      <c r="L33" s="17"/>
      <c r="M33" s="17"/>
      <c r="N33" s="32">
        <f t="shared" si="0"/>
        <v>1594.08</v>
      </c>
    </row>
    <row r="34" spans="1:15" ht="19" x14ac:dyDescent="0.25">
      <c r="A34" s="5" t="s">
        <v>43</v>
      </c>
      <c r="B34" s="17">
        <v>0</v>
      </c>
      <c r="C34" s="17">
        <v>500</v>
      </c>
      <c r="D34" s="17">
        <v>0</v>
      </c>
      <c r="E34" s="17">
        <v>0</v>
      </c>
      <c r="F34" s="17">
        <v>0</v>
      </c>
      <c r="G34" s="17">
        <v>0</v>
      </c>
      <c r="H34" s="18"/>
      <c r="I34" s="17"/>
      <c r="J34" s="17"/>
      <c r="K34" s="17"/>
      <c r="L34" s="17"/>
      <c r="M34" s="17"/>
      <c r="N34" s="32">
        <f t="shared" si="0"/>
        <v>500</v>
      </c>
    </row>
    <row r="35" spans="1:15" ht="19" x14ac:dyDescent="0.25">
      <c r="A35" s="5" t="s">
        <v>44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8">
        <v>150</v>
      </c>
      <c r="I35" s="17"/>
      <c r="J35" s="17">
        <v>150</v>
      </c>
      <c r="K35" s="17"/>
      <c r="L35" s="17">
        <v>600</v>
      </c>
      <c r="M35" s="17"/>
      <c r="N35" s="32">
        <f t="shared" si="0"/>
        <v>900</v>
      </c>
    </row>
    <row r="36" spans="1:15" ht="19" x14ac:dyDescent="0.25">
      <c r="A36" s="5" t="s">
        <v>45</v>
      </c>
      <c r="B36" s="17">
        <v>0</v>
      </c>
      <c r="C36" s="17">
        <v>0</v>
      </c>
      <c r="D36" s="17">
        <v>634.77</v>
      </c>
      <c r="E36" s="17">
        <v>0</v>
      </c>
      <c r="F36" s="17">
        <v>0</v>
      </c>
      <c r="G36" s="17">
        <v>0</v>
      </c>
      <c r="H36" s="18"/>
      <c r="I36" s="17"/>
      <c r="J36" s="17"/>
      <c r="K36" s="17"/>
      <c r="L36" s="17"/>
      <c r="M36" s="17"/>
      <c r="N36" s="32">
        <f t="shared" si="0"/>
        <v>634.77</v>
      </c>
    </row>
    <row r="37" spans="1:15" ht="19" x14ac:dyDescent="0.25">
      <c r="A37" s="6" t="s">
        <v>46</v>
      </c>
      <c r="B37" s="17">
        <v>828</v>
      </c>
      <c r="C37" s="17">
        <v>870</v>
      </c>
      <c r="D37" s="17">
        <v>870</v>
      </c>
      <c r="E37" s="17">
        <v>870</v>
      </c>
      <c r="F37" s="17">
        <v>870</v>
      </c>
      <c r="G37" s="17">
        <v>870</v>
      </c>
      <c r="H37" s="18">
        <v>870</v>
      </c>
      <c r="I37" s="17">
        <v>870</v>
      </c>
      <c r="J37" s="17">
        <v>870</v>
      </c>
      <c r="K37" s="17">
        <v>870</v>
      </c>
      <c r="L37" s="17">
        <v>870</v>
      </c>
      <c r="M37" s="17">
        <v>870</v>
      </c>
      <c r="N37" s="32">
        <f t="shared" si="0"/>
        <v>10398</v>
      </c>
    </row>
    <row r="38" spans="1:15" ht="20" x14ac:dyDescent="0.25">
      <c r="A38" s="12" t="s">
        <v>47</v>
      </c>
      <c r="B38" s="17"/>
      <c r="C38" s="17"/>
      <c r="D38" s="17"/>
      <c r="E38" s="17"/>
      <c r="F38" s="17"/>
      <c r="G38" s="17"/>
      <c r="H38" s="18"/>
      <c r="I38" s="17"/>
      <c r="J38" s="17"/>
      <c r="K38" s="17"/>
      <c r="L38" s="17"/>
      <c r="M38" s="17"/>
      <c r="N38" s="32">
        <f t="shared" si="0"/>
        <v>0</v>
      </c>
    </row>
    <row r="39" spans="1:15" ht="20" x14ac:dyDescent="0.25">
      <c r="A39" s="11" t="s">
        <v>48</v>
      </c>
      <c r="B39" s="17">
        <v>646.04999999999995</v>
      </c>
      <c r="C39" s="17">
        <v>596.47</v>
      </c>
      <c r="D39" s="17">
        <v>0</v>
      </c>
      <c r="E39" s="17">
        <v>69.11</v>
      </c>
      <c r="F39" s="17">
        <v>1.69</v>
      </c>
      <c r="G39" s="17">
        <v>42.7</v>
      </c>
      <c r="H39" s="18"/>
      <c r="I39" s="17">
        <v>45.13</v>
      </c>
      <c r="J39" s="17">
        <v>46.46</v>
      </c>
      <c r="K39" s="17">
        <v>46.46</v>
      </c>
      <c r="L39" s="17">
        <v>46.46</v>
      </c>
      <c r="M39" s="17">
        <v>46.46</v>
      </c>
      <c r="N39" s="32">
        <f>SUM(B39:M39)</f>
        <v>1586.9900000000002</v>
      </c>
    </row>
    <row r="40" spans="1:15" ht="20" x14ac:dyDescent="0.25">
      <c r="A40" s="11" t="s">
        <v>49</v>
      </c>
      <c r="B40" s="17">
        <v>7103.68</v>
      </c>
      <c r="C40" s="17">
        <v>7149.48</v>
      </c>
      <c r="D40" s="17">
        <v>7615.69</v>
      </c>
      <c r="E40" s="17">
        <v>8554.48</v>
      </c>
      <c r="F40" s="17">
        <v>8107.88</v>
      </c>
      <c r="G40" s="17">
        <v>7321.39</v>
      </c>
      <c r="H40" s="18">
        <v>8775.33</v>
      </c>
      <c r="I40" s="17">
        <v>7387.18</v>
      </c>
      <c r="J40" s="17">
        <v>6226.72</v>
      </c>
      <c r="K40" s="17">
        <v>6226.72</v>
      </c>
      <c r="L40" s="17">
        <v>6226.72</v>
      </c>
      <c r="M40" s="17">
        <v>6226.72</v>
      </c>
      <c r="N40" s="32">
        <f t="shared" si="0"/>
        <v>86921.99</v>
      </c>
      <c r="O40" s="35">
        <f>SUM(N39:N41)</f>
        <v>141540.77000000002</v>
      </c>
    </row>
    <row r="41" spans="1:15" ht="20" x14ac:dyDescent="0.25">
      <c r="A41" s="11" t="s">
        <v>50</v>
      </c>
      <c r="B41" s="27">
        <v>3925.91</v>
      </c>
      <c r="C41" s="27">
        <v>3711.41</v>
      </c>
      <c r="D41" s="27">
        <v>3637.22</v>
      </c>
      <c r="E41" s="27">
        <v>3957.63</v>
      </c>
      <c r="F41" s="27">
        <v>4366.68</v>
      </c>
      <c r="G41" s="27">
        <v>4261.47</v>
      </c>
      <c r="H41" s="29">
        <v>4974.47</v>
      </c>
      <c r="I41" s="17">
        <v>4550.84</v>
      </c>
      <c r="J41" s="27">
        <v>4911.54</v>
      </c>
      <c r="K41" s="27">
        <v>4911.54</v>
      </c>
      <c r="L41" s="27">
        <v>4911.54</v>
      </c>
      <c r="M41" s="27">
        <v>4911.54</v>
      </c>
      <c r="N41" s="32">
        <f t="shared" si="0"/>
        <v>53031.790000000008</v>
      </c>
    </row>
    <row r="42" spans="1:15" ht="20" x14ac:dyDescent="0.25">
      <c r="A42" s="12" t="s">
        <v>51</v>
      </c>
      <c r="B42" s="17">
        <v>0</v>
      </c>
      <c r="C42" s="17">
        <v>1000</v>
      </c>
      <c r="D42" s="17">
        <v>500</v>
      </c>
      <c r="E42" s="17">
        <v>0</v>
      </c>
      <c r="F42" s="17">
        <v>0</v>
      </c>
      <c r="G42" s="17">
        <v>0</v>
      </c>
      <c r="H42" s="18"/>
      <c r="I42" s="17"/>
      <c r="J42" s="22">
        <v>500</v>
      </c>
      <c r="K42" s="17">
        <v>500</v>
      </c>
      <c r="L42" s="17"/>
      <c r="M42" s="17"/>
      <c r="N42" s="32">
        <f t="shared" si="0"/>
        <v>2500</v>
      </c>
    </row>
    <row r="43" spans="1:15" ht="19" x14ac:dyDescent="0.25">
      <c r="A43" s="6" t="s">
        <v>52</v>
      </c>
      <c r="B43" s="19">
        <v>41740.07</v>
      </c>
      <c r="C43" s="19">
        <v>47994.02</v>
      </c>
      <c r="D43" s="19">
        <v>37921.01</v>
      </c>
      <c r="E43" s="19">
        <v>1060011.78</v>
      </c>
      <c r="F43" s="19">
        <f t="shared" ref="F43:M43" si="2">SUM(F12:F42)</f>
        <v>40166.159999999996</v>
      </c>
      <c r="G43" s="19">
        <f t="shared" si="2"/>
        <v>46262.06</v>
      </c>
      <c r="H43" s="19">
        <f t="shared" si="2"/>
        <v>36408.050000000003</v>
      </c>
      <c r="I43" s="19">
        <f t="shared" si="2"/>
        <v>52489.94</v>
      </c>
      <c r="J43" s="19">
        <f t="shared" si="2"/>
        <v>39585.01</v>
      </c>
      <c r="K43" s="19">
        <f t="shared" si="2"/>
        <v>49664.160000000003</v>
      </c>
      <c r="L43" s="19">
        <f t="shared" si="2"/>
        <v>44000.350000000006</v>
      </c>
      <c r="M43" s="19">
        <f t="shared" si="2"/>
        <v>127971.73</v>
      </c>
      <c r="N43" s="32">
        <f t="shared" si="0"/>
        <v>1624214.34</v>
      </c>
    </row>
    <row r="44" spans="1:15" ht="19" x14ac:dyDescent="0.25">
      <c r="A44" s="6"/>
      <c r="B44" s="19"/>
      <c r="C44" s="19"/>
      <c r="D44" s="19"/>
      <c r="E44" s="19"/>
      <c r="F44" s="17"/>
      <c r="G44" s="17"/>
      <c r="H44" s="18"/>
      <c r="I44" s="17"/>
      <c r="J44" s="17"/>
      <c r="K44" s="17"/>
      <c r="L44" s="17"/>
      <c r="M44" s="17"/>
      <c r="N44" s="32">
        <f t="shared" si="0"/>
        <v>0</v>
      </c>
    </row>
    <row r="45" spans="1:15" ht="19" x14ac:dyDescent="0.2">
      <c r="A45" s="13" t="s">
        <v>53</v>
      </c>
      <c r="B45" s="19"/>
      <c r="C45" s="19"/>
      <c r="D45" s="19"/>
      <c r="E45" s="17"/>
      <c r="F45" s="17"/>
      <c r="G45" s="17"/>
      <c r="H45" s="18"/>
      <c r="I45" s="17"/>
      <c r="J45" s="17"/>
      <c r="K45" s="17"/>
      <c r="L45" s="17"/>
      <c r="M45" s="17"/>
      <c r="N45" s="32">
        <f t="shared" si="0"/>
        <v>0</v>
      </c>
    </row>
    <row r="46" spans="1:15" ht="19" x14ac:dyDescent="0.25">
      <c r="A46" s="9" t="s">
        <v>35</v>
      </c>
      <c r="B46" s="27">
        <v>0</v>
      </c>
      <c r="C46" s="27">
        <v>0</v>
      </c>
      <c r="D46" s="27">
        <v>0</v>
      </c>
      <c r="E46" s="17">
        <v>156</v>
      </c>
      <c r="F46" s="27">
        <v>137</v>
      </c>
      <c r="G46" s="17">
        <v>220</v>
      </c>
      <c r="H46" s="18">
        <v>314</v>
      </c>
      <c r="I46" s="17">
        <v>30</v>
      </c>
      <c r="J46" s="17">
        <v>97</v>
      </c>
      <c r="K46" s="17">
        <v>460</v>
      </c>
      <c r="L46" s="17">
        <v>394</v>
      </c>
      <c r="M46" s="17"/>
      <c r="N46" s="32">
        <f t="shared" si="0"/>
        <v>1808</v>
      </c>
    </row>
    <row r="47" spans="1:15" ht="19" x14ac:dyDescent="0.25">
      <c r="A47" s="9" t="s">
        <v>36</v>
      </c>
      <c r="B47" s="27">
        <v>0</v>
      </c>
      <c r="C47" s="27">
        <v>0</v>
      </c>
      <c r="D47" s="27">
        <v>169</v>
      </c>
      <c r="E47" s="17">
        <v>210</v>
      </c>
      <c r="F47" s="27">
        <v>23.75</v>
      </c>
      <c r="G47" s="17">
        <v>26</v>
      </c>
      <c r="H47" s="18">
        <v>50</v>
      </c>
      <c r="I47" s="17">
        <v>80</v>
      </c>
      <c r="J47" s="17"/>
      <c r="K47" s="17">
        <v>22</v>
      </c>
      <c r="L47" s="17">
        <v>70</v>
      </c>
      <c r="M47" s="17">
        <v>100</v>
      </c>
      <c r="N47" s="32">
        <f t="shared" si="0"/>
        <v>750.75</v>
      </c>
    </row>
    <row r="48" spans="1:15" ht="19" x14ac:dyDescent="0.25">
      <c r="A48" s="9" t="s">
        <v>37</v>
      </c>
      <c r="B48" s="27">
        <v>0</v>
      </c>
      <c r="C48" s="27">
        <v>0</v>
      </c>
      <c r="D48" s="27">
        <v>1</v>
      </c>
      <c r="E48" s="17">
        <v>0</v>
      </c>
      <c r="F48" s="27">
        <v>120</v>
      </c>
      <c r="G48" s="17">
        <v>110</v>
      </c>
      <c r="H48" s="18">
        <v>50</v>
      </c>
      <c r="I48" s="17">
        <v>200</v>
      </c>
      <c r="J48" s="17">
        <v>0</v>
      </c>
      <c r="K48" s="17">
        <v>60</v>
      </c>
      <c r="L48" s="17">
        <v>60</v>
      </c>
      <c r="M48" s="17">
        <v>605</v>
      </c>
      <c r="N48" s="32">
        <f t="shared" si="0"/>
        <v>1206</v>
      </c>
    </row>
    <row r="49" spans="1:15" ht="19" x14ac:dyDescent="0.25">
      <c r="A49" s="10" t="s">
        <v>54</v>
      </c>
      <c r="B49" s="19">
        <v>0</v>
      </c>
      <c r="C49" s="19">
        <v>0</v>
      </c>
      <c r="D49" s="19">
        <v>170</v>
      </c>
      <c r="E49" s="19">
        <v>366</v>
      </c>
      <c r="F49" s="19">
        <f>SUM(F46:F48)</f>
        <v>280.75</v>
      </c>
      <c r="G49" s="19">
        <f t="shared" ref="G49:M49" si="3">SUM(G46:G48)</f>
        <v>356</v>
      </c>
      <c r="H49" s="19">
        <f t="shared" si="3"/>
        <v>414</v>
      </c>
      <c r="I49" s="19">
        <f t="shared" si="3"/>
        <v>310</v>
      </c>
      <c r="J49" s="19">
        <f t="shared" si="3"/>
        <v>97</v>
      </c>
      <c r="K49" s="19">
        <f t="shared" si="3"/>
        <v>542</v>
      </c>
      <c r="L49" s="19">
        <f t="shared" si="3"/>
        <v>524</v>
      </c>
      <c r="M49" s="19">
        <f t="shared" si="3"/>
        <v>705</v>
      </c>
      <c r="N49" s="32">
        <f t="shared" si="0"/>
        <v>3764.75</v>
      </c>
    </row>
    <row r="50" spans="1:15" ht="19" x14ac:dyDescent="0.25">
      <c r="A50" s="14" t="s">
        <v>55</v>
      </c>
      <c r="B50" s="28">
        <v>41740.07</v>
      </c>
      <c r="C50" s="28">
        <v>47994.02</v>
      </c>
      <c r="D50" s="28">
        <v>38091.01</v>
      </c>
      <c r="E50" s="28">
        <v>1060377.78</v>
      </c>
      <c r="F50" s="28">
        <f>SUM(F43+F49)</f>
        <v>40446.909999999996</v>
      </c>
      <c r="G50" s="28">
        <f t="shared" ref="G50:K50" si="4">SUM(G43+G49)</f>
        <v>46618.06</v>
      </c>
      <c r="H50" s="28">
        <f t="shared" si="4"/>
        <v>36822.050000000003</v>
      </c>
      <c r="I50" s="28">
        <f t="shared" si="4"/>
        <v>52799.94</v>
      </c>
      <c r="J50" s="28">
        <f t="shared" si="4"/>
        <v>39682.01</v>
      </c>
      <c r="K50" s="28">
        <f t="shared" si="4"/>
        <v>50206.16</v>
      </c>
      <c r="L50" s="28">
        <f>SUM(L43+L49)</f>
        <v>44524.350000000006</v>
      </c>
      <c r="M50" s="28">
        <f>SUM(M43+M49)</f>
        <v>128676.73</v>
      </c>
      <c r="N50" s="32">
        <f t="shared" si="0"/>
        <v>1627979.09</v>
      </c>
    </row>
    <row r="51" spans="1:15" ht="19" x14ac:dyDescent="0.25">
      <c r="A51" s="14"/>
      <c r="B51" s="30"/>
      <c r="C51" s="30"/>
      <c r="D51" s="30"/>
      <c r="E51" s="30"/>
      <c r="F51" s="17"/>
      <c r="G51" s="17"/>
      <c r="H51" s="18"/>
      <c r="I51" s="17"/>
      <c r="J51" s="17"/>
      <c r="K51" s="17"/>
      <c r="L51" s="17"/>
      <c r="M51" s="17"/>
      <c r="N51" s="32"/>
    </row>
    <row r="52" spans="1:15" s="16" customFormat="1" ht="22" x14ac:dyDescent="0.3">
      <c r="A52" s="15" t="s">
        <v>56</v>
      </c>
      <c r="B52" s="31">
        <f>SUM(B10+B50)</f>
        <v>198817.55000000002</v>
      </c>
      <c r="C52" s="31">
        <f t="shared" ref="C52:M52" si="5">SUM(C10+C50)</f>
        <v>199217.03</v>
      </c>
      <c r="D52" s="31">
        <f t="shared" si="5"/>
        <v>212968.52000000002</v>
      </c>
      <c r="E52" s="31">
        <f t="shared" si="5"/>
        <v>1214171.21</v>
      </c>
      <c r="F52" s="31">
        <f t="shared" si="5"/>
        <v>195868.24</v>
      </c>
      <c r="G52" s="31">
        <f t="shared" si="5"/>
        <v>306748.07</v>
      </c>
      <c r="H52" s="31">
        <f t="shared" si="5"/>
        <v>208898.75</v>
      </c>
      <c r="I52" s="31">
        <f t="shared" si="5"/>
        <v>275299.44</v>
      </c>
      <c r="J52" s="31">
        <f t="shared" si="5"/>
        <v>187100.13</v>
      </c>
      <c r="K52" s="31">
        <f t="shared" si="5"/>
        <v>272253.75</v>
      </c>
      <c r="L52" s="31">
        <f t="shared" si="5"/>
        <v>286604.71999999997</v>
      </c>
      <c r="M52" s="31">
        <f t="shared" si="5"/>
        <v>411528.07</v>
      </c>
      <c r="N52" s="33">
        <f>SUM(B52:M52)</f>
        <v>3969475.48</v>
      </c>
      <c r="O52" s="3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IPB Rio Preto</dc:creator>
  <cp:keywords/>
  <dc:description/>
  <cp:lastModifiedBy>Abner Santana</cp:lastModifiedBy>
  <cp:revision/>
  <dcterms:created xsi:type="dcterms:W3CDTF">2025-02-04T17:41:59Z</dcterms:created>
  <dcterms:modified xsi:type="dcterms:W3CDTF">2026-01-09T23:19:44Z</dcterms:modified>
  <cp:category/>
  <cp:contentStatus/>
</cp:coreProperties>
</file>