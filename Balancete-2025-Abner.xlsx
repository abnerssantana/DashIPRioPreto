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d.docs.live.net/b51e81af43a14878/DashIPRioPreto/"/>
    </mc:Choice>
  </mc:AlternateContent>
  <xr:revisionPtr revIDLastSave="2275" documentId="8_{B053E939-3BD6-4945-A967-20B87399FD92}" xr6:coauthVersionLast="47" xr6:coauthVersionMax="47" xr10:uidLastSave="{4753FE77-EFAC-FA4A-9E25-162967B2452F}"/>
  <bookViews>
    <workbookView xWindow="-60" yWindow="620" windowWidth="25640" windowHeight="28200" activeTab="2" xr2:uid="{DD179F22-A06B-8544-9C53-32AB49C8675D}"/>
  </bookViews>
  <sheets>
    <sheet name="Receitas" sheetId="3" r:id="rId1"/>
    <sheet name="Recriando Despesas" sheetId="5" r:id="rId2"/>
    <sheet name="Despesas" sheetId="2" r:id="rId3"/>
    <sheet name="Nova Granad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4" i="2" l="1"/>
  <c r="C134" i="2"/>
  <c r="D134" i="2"/>
  <c r="E134" i="2"/>
  <c r="F134" i="2"/>
  <c r="G134" i="2"/>
  <c r="H134" i="2"/>
  <c r="I134" i="2"/>
  <c r="J134" i="2"/>
  <c r="K134" i="2"/>
  <c r="L134" i="2"/>
  <c r="M134" i="2"/>
  <c r="M99" i="2"/>
  <c r="I99" i="2"/>
  <c r="B99" i="2"/>
  <c r="E99" i="2"/>
  <c r="C99" i="2"/>
  <c r="D99" i="2"/>
  <c r="F99" i="2"/>
  <c r="G99" i="2"/>
  <c r="H99" i="2"/>
  <c r="J99" i="2"/>
  <c r="K99" i="2"/>
  <c r="L99" i="2"/>
  <c r="E59" i="2"/>
  <c r="M10" i="2"/>
  <c r="D10" i="2"/>
  <c r="O27" i="3"/>
  <c r="O7" i="3"/>
  <c r="M52" i="3"/>
  <c r="N52" i="3" s="1"/>
  <c r="F59" i="2"/>
  <c r="F259" i="2"/>
  <c r="F294" i="2"/>
  <c r="F311" i="2"/>
  <c r="F349" i="2"/>
  <c r="F355" i="2"/>
  <c r="F450" i="2"/>
  <c r="G407" i="2"/>
  <c r="H407" i="2"/>
  <c r="I407" i="2"/>
  <c r="J407" i="2"/>
  <c r="K407" i="2"/>
  <c r="L407" i="2"/>
  <c r="M407" i="2"/>
  <c r="B407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C259" i="2"/>
  <c r="D259" i="2"/>
  <c r="G259" i="2"/>
  <c r="H259" i="2"/>
  <c r="I259" i="2"/>
  <c r="J259" i="2"/>
  <c r="K259" i="2"/>
  <c r="L259" i="2"/>
  <c r="M259" i="2"/>
  <c r="C473" i="2"/>
  <c r="D473" i="2"/>
  <c r="E473" i="2"/>
  <c r="B473" i="2"/>
  <c r="G473" i="2"/>
  <c r="H473" i="2"/>
  <c r="F473" i="2"/>
  <c r="C10" i="2"/>
  <c r="E10" i="2"/>
  <c r="F10" i="2"/>
  <c r="G10" i="2"/>
  <c r="H10" i="2"/>
  <c r="I10" i="2"/>
  <c r="J10" i="2"/>
  <c r="K10" i="2"/>
  <c r="L10" i="2"/>
  <c r="B10" i="2"/>
  <c r="N453" i="2"/>
  <c r="N452" i="2"/>
  <c r="C454" i="2"/>
  <c r="D454" i="2"/>
  <c r="E454" i="2"/>
  <c r="F454" i="2"/>
  <c r="G454" i="2"/>
  <c r="H454" i="2"/>
  <c r="I454" i="2"/>
  <c r="J454" i="2"/>
  <c r="K454" i="2"/>
  <c r="L454" i="2"/>
  <c r="M454" i="2"/>
  <c r="B454" i="2"/>
  <c r="C450" i="2"/>
  <c r="D450" i="2"/>
  <c r="E450" i="2"/>
  <c r="B450" i="2"/>
  <c r="C349" i="2"/>
  <c r="D349" i="2"/>
  <c r="E349" i="2"/>
  <c r="G349" i="2"/>
  <c r="H349" i="2"/>
  <c r="I349" i="2"/>
  <c r="J349" i="2"/>
  <c r="K349" i="2"/>
  <c r="L349" i="2"/>
  <c r="M349" i="2"/>
  <c r="B349" i="2"/>
  <c r="C355" i="2"/>
  <c r="D355" i="2"/>
  <c r="E355" i="2"/>
  <c r="G355" i="2"/>
  <c r="H355" i="2"/>
  <c r="I355" i="2"/>
  <c r="J355" i="2"/>
  <c r="K355" i="2"/>
  <c r="L355" i="2"/>
  <c r="M355" i="2"/>
  <c r="B355" i="2"/>
  <c r="C311" i="2"/>
  <c r="D311" i="2"/>
  <c r="E311" i="2"/>
  <c r="G311" i="2"/>
  <c r="H311" i="2"/>
  <c r="I311" i="2"/>
  <c r="J311" i="2"/>
  <c r="K311" i="2"/>
  <c r="L311" i="2"/>
  <c r="M311" i="2"/>
  <c r="B311" i="2"/>
  <c r="C294" i="2"/>
  <c r="D294" i="2"/>
  <c r="E294" i="2"/>
  <c r="G294" i="2"/>
  <c r="H294" i="2"/>
  <c r="I294" i="2"/>
  <c r="J294" i="2"/>
  <c r="K294" i="2"/>
  <c r="L294" i="2"/>
  <c r="M294" i="2"/>
  <c r="B294" i="2"/>
  <c r="C59" i="2"/>
  <c r="G59" i="2"/>
  <c r="H59" i="2"/>
  <c r="I59" i="2"/>
  <c r="J59" i="2"/>
  <c r="K59" i="2"/>
  <c r="L59" i="2"/>
  <c r="M59" i="2"/>
  <c r="B59" i="2"/>
  <c r="C147" i="5"/>
  <c r="D147" i="5"/>
  <c r="E147" i="5"/>
  <c r="F147" i="5"/>
  <c r="G147" i="5"/>
  <c r="H147" i="5"/>
  <c r="I147" i="5"/>
  <c r="J147" i="5"/>
  <c r="K147" i="5"/>
  <c r="L147" i="5"/>
  <c r="M147" i="5"/>
  <c r="B147" i="5"/>
  <c r="M146" i="5"/>
  <c r="N146" i="5"/>
  <c r="C146" i="5"/>
  <c r="D146" i="5"/>
  <c r="E146" i="5"/>
  <c r="F146" i="5"/>
  <c r="G146" i="5"/>
  <c r="H146" i="5"/>
  <c r="I146" i="5"/>
  <c r="J146" i="5"/>
  <c r="K146" i="5"/>
  <c r="L146" i="5"/>
  <c r="B146" i="5"/>
  <c r="C134" i="5"/>
  <c r="D134" i="5"/>
  <c r="E134" i="5"/>
  <c r="F134" i="5"/>
  <c r="G134" i="5"/>
  <c r="H134" i="5"/>
  <c r="I134" i="5"/>
  <c r="J134" i="5"/>
  <c r="K134" i="5"/>
  <c r="L134" i="5"/>
  <c r="M134" i="5"/>
  <c r="B134" i="5"/>
  <c r="N134" i="5"/>
  <c r="M118" i="5"/>
  <c r="B118" i="5"/>
  <c r="L118" i="5"/>
  <c r="K118" i="5"/>
  <c r="J118" i="5"/>
  <c r="I118" i="5"/>
  <c r="H118" i="5"/>
  <c r="G118" i="5"/>
  <c r="F118" i="5"/>
  <c r="E118" i="5"/>
  <c r="D118" i="5"/>
  <c r="C118" i="5"/>
  <c r="N118" i="5" s="1"/>
  <c r="C105" i="5"/>
  <c r="D105" i="5"/>
  <c r="E105" i="5"/>
  <c r="F105" i="5"/>
  <c r="G105" i="5"/>
  <c r="H105" i="5"/>
  <c r="I105" i="5"/>
  <c r="J105" i="5"/>
  <c r="K105" i="5"/>
  <c r="L105" i="5"/>
  <c r="M105" i="5"/>
  <c r="B105" i="5"/>
  <c r="C92" i="5"/>
  <c r="D92" i="5"/>
  <c r="E92" i="5"/>
  <c r="F92" i="5"/>
  <c r="G92" i="5"/>
  <c r="H92" i="5"/>
  <c r="I92" i="5"/>
  <c r="J92" i="5"/>
  <c r="K92" i="5"/>
  <c r="L92" i="5"/>
  <c r="M92" i="5"/>
  <c r="B92" i="5"/>
  <c r="C69" i="5"/>
  <c r="D69" i="5"/>
  <c r="E69" i="5"/>
  <c r="F69" i="5"/>
  <c r="G69" i="5"/>
  <c r="H69" i="5"/>
  <c r="I69" i="5"/>
  <c r="J69" i="5"/>
  <c r="K69" i="5"/>
  <c r="L69" i="5"/>
  <c r="M69" i="5"/>
  <c r="B69" i="5"/>
  <c r="N27" i="3"/>
  <c r="O28" i="3"/>
  <c r="O8" i="3"/>
  <c r="C190" i="5"/>
  <c r="D190" i="5"/>
  <c r="E190" i="5"/>
  <c r="F190" i="5"/>
  <c r="G190" i="5"/>
  <c r="H190" i="5"/>
  <c r="I190" i="5"/>
  <c r="J190" i="5"/>
  <c r="K190" i="5"/>
  <c r="L190" i="5"/>
  <c r="M190" i="5"/>
  <c r="B190" i="5"/>
  <c r="C77" i="5"/>
  <c r="D77" i="5"/>
  <c r="E77" i="5"/>
  <c r="F77" i="5"/>
  <c r="G77" i="5"/>
  <c r="H77" i="5"/>
  <c r="I77" i="5"/>
  <c r="J77" i="5"/>
  <c r="K77" i="5"/>
  <c r="L77" i="5"/>
  <c r="M77" i="5"/>
  <c r="B77" i="5"/>
  <c r="N39" i="3"/>
  <c r="O40" i="3" s="1"/>
  <c r="C52" i="3"/>
  <c r="D52" i="3"/>
  <c r="E52" i="3"/>
  <c r="F52" i="3"/>
  <c r="G52" i="3"/>
  <c r="H52" i="3"/>
  <c r="I52" i="3"/>
  <c r="J52" i="3"/>
  <c r="K52" i="3"/>
  <c r="L52" i="3"/>
  <c r="B52" i="3"/>
  <c r="N2" i="3"/>
  <c r="F43" i="3"/>
  <c r="G43" i="3"/>
  <c r="G50" i="3" s="1"/>
  <c r="H43" i="3"/>
  <c r="H50" i="3" s="1"/>
  <c r="I43" i="3"/>
  <c r="I50" i="3" s="1"/>
  <c r="J43" i="3"/>
  <c r="J50" i="3" s="1"/>
  <c r="K43" i="3"/>
  <c r="K50" i="3" s="1"/>
  <c r="L43" i="3"/>
  <c r="L50" i="3" s="1"/>
  <c r="M43" i="3"/>
  <c r="M50" i="3"/>
  <c r="G10" i="3"/>
  <c r="H10" i="3"/>
  <c r="I10" i="3"/>
  <c r="J10" i="3"/>
  <c r="K10" i="3"/>
  <c r="L10" i="3"/>
  <c r="M10" i="3"/>
  <c r="F10" i="3"/>
  <c r="N3" i="3"/>
  <c r="N4" i="3"/>
  <c r="N7" i="3"/>
  <c r="N8" i="3"/>
  <c r="N9" i="3"/>
  <c r="N10" i="3"/>
  <c r="N12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8" i="3"/>
  <c r="N30" i="3"/>
  <c r="N31" i="3"/>
  <c r="N32" i="3"/>
  <c r="N33" i="3"/>
  <c r="N34" i="3"/>
  <c r="N35" i="3"/>
  <c r="N36" i="3"/>
  <c r="N37" i="3"/>
  <c r="N38" i="3"/>
  <c r="N40" i="3"/>
  <c r="N41" i="3"/>
  <c r="N42" i="3"/>
  <c r="N44" i="3"/>
  <c r="N45" i="3"/>
  <c r="N46" i="3"/>
  <c r="N47" i="3"/>
  <c r="N48" i="3"/>
  <c r="G49" i="3"/>
  <c r="H49" i="3"/>
  <c r="I49" i="3"/>
  <c r="J49" i="3"/>
  <c r="K49" i="3"/>
  <c r="L49" i="3"/>
  <c r="M49" i="3"/>
  <c r="F49" i="3"/>
  <c r="M8" i="5"/>
  <c r="L8" i="5"/>
  <c r="K8" i="5"/>
  <c r="J8" i="5"/>
  <c r="I8" i="5"/>
  <c r="H8" i="5"/>
  <c r="G8" i="5"/>
  <c r="D8" i="5"/>
  <c r="B8" i="5"/>
  <c r="N46" i="4"/>
  <c r="N44" i="4"/>
  <c r="N49" i="4"/>
  <c r="C49" i="4"/>
  <c r="D49" i="4"/>
  <c r="E49" i="4"/>
  <c r="F49" i="4"/>
  <c r="G49" i="4"/>
  <c r="H49" i="4"/>
  <c r="I49" i="4"/>
  <c r="J49" i="4"/>
  <c r="K49" i="4"/>
  <c r="L49" i="4"/>
  <c r="M49" i="4"/>
  <c r="B49" i="4"/>
  <c r="N4" i="4"/>
  <c r="N7" i="4"/>
  <c r="D10" i="4"/>
  <c r="D12" i="4" s="1"/>
  <c r="E10" i="4"/>
  <c r="E12" i="4" s="1"/>
  <c r="F10" i="4"/>
  <c r="F12" i="4" s="1"/>
  <c r="G10" i="4"/>
  <c r="G12" i="4" s="1"/>
  <c r="H10" i="4"/>
  <c r="H12" i="4" s="1"/>
  <c r="I10" i="4"/>
  <c r="I12" i="4" s="1"/>
  <c r="J10" i="4"/>
  <c r="J12" i="4" s="1"/>
  <c r="K10" i="4"/>
  <c r="K12" i="4" s="1"/>
  <c r="L10" i="4"/>
  <c r="L12" i="4" s="1"/>
  <c r="M10" i="4"/>
  <c r="M12" i="4" s="1"/>
  <c r="N8" i="4"/>
  <c r="N9" i="4"/>
  <c r="N15" i="4"/>
  <c r="N3" i="4"/>
  <c r="N2" i="4"/>
  <c r="M46" i="4"/>
  <c r="L46" i="4"/>
  <c r="K46" i="4"/>
  <c r="J46" i="4"/>
  <c r="I46" i="4"/>
  <c r="H46" i="4"/>
  <c r="G46" i="4"/>
  <c r="F46" i="4"/>
  <c r="E46" i="4"/>
  <c r="D46" i="4"/>
  <c r="C46" i="4"/>
  <c r="B46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B214" i="2"/>
  <c r="B259" i="2" s="1"/>
  <c r="D367" i="2"/>
  <c r="D407" i="2" s="1"/>
  <c r="C377" i="2"/>
  <c r="C407" i="2" s="1"/>
  <c r="N134" i="2" l="1"/>
  <c r="N99" i="2"/>
  <c r="N473" i="2"/>
  <c r="N10" i="2"/>
  <c r="N413" i="2"/>
  <c r="N355" i="2"/>
  <c r="N311" i="2"/>
  <c r="N349" i="2"/>
  <c r="N294" i="2"/>
  <c r="D59" i="2"/>
  <c r="N59" i="2" s="1"/>
  <c r="N105" i="5"/>
  <c r="N92" i="5"/>
  <c r="N69" i="5"/>
  <c r="N77" i="5"/>
  <c r="N43" i="3"/>
  <c r="F50" i="3"/>
  <c r="N49" i="3"/>
  <c r="N8" i="5"/>
  <c r="N12" i="4"/>
  <c r="N10" i="4"/>
  <c r="F377" i="2"/>
  <c r="F407" i="2" s="1"/>
  <c r="E367" i="2"/>
  <c r="E407" i="2" s="1"/>
  <c r="O355" i="2" l="1"/>
  <c r="N407" i="2"/>
  <c r="N147" i="5"/>
  <c r="N50" i="3"/>
  <c r="E214" i="2"/>
  <c r="E259" i="2" s="1"/>
  <c r="N259" i="2" s="1"/>
  <c r="G450" i="2" l="1"/>
  <c r="H450" i="2"/>
  <c r="I450" i="2"/>
  <c r="J450" i="2"/>
  <c r="K450" i="2"/>
  <c r="L450" i="2"/>
  <c r="M450" i="2"/>
  <c r="N450" i="2" l="1"/>
  <c r="O450" i="2" l="1"/>
  <c r="N478" i="2"/>
</calcChain>
</file>

<file path=xl/sharedStrings.xml><?xml version="1.0" encoding="utf-8"?>
<sst xmlns="http://schemas.openxmlformats.org/spreadsheetml/2006/main" count="758" uniqueCount="498">
  <si>
    <t>A) DIZIMAVEIS IGREJA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</si>
  <si>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</si>
  <si>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</si>
  <si>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</si>
  <si>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</si>
  <si>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</si>
  <si>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</si>
  <si>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</si>
  <si>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</si>
  <si>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</si>
  <si>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</si>
  <si>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</si>
  <si>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</si>
  <si>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</si>
  <si>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Dízimo</t>
  </si>
  <si>
    <t>Ofertas</t>
  </si>
  <si>
    <t>Total dizimáveis Igreja:</t>
  </si>
  <si>
    <t>DIZIMAVEIS NOVA GRANADA</t>
  </si>
  <si>
    <t>Total dizimáveis Nova Granada</t>
  </si>
  <si>
    <t>Total geral de dizimáveis:</t>
  </si>
  <si>
    <t>B) NÃO DIZIMAVEIS IGREJA</t>
  </si>
  <si>
    <t>Biblia de Genebra</t>
  </si>
  <si>
    <t>Chácara:</t>
  </si>
  <si>
    <t>Aluguel</t>
  </si>
  <si>
    <t>Entrada aluguel federação UCP</t>
  </si>
  <si>
    <t>Aluguel IPI</t>
  </si>
  <si>
    <t>Aluguel Igreja Nazareno</t>
  </si>
  <si>
    <t>Aluguel Igreja Menonita</t>
  </si>
  <si>
    <t>Condominio Pr. Misael (restituição)</t>
  </si>
  <si>
    <t>Campanha nova área e templo - obs: meses março, abril e maio - stone</t>
  </si>
  <si>
    <t>Devolução valor cond. Rev. Misael pago duplicado</t>
  </si>
  <si>
    <t>Devolução de verba</t>
  </si>
  <si>
    <t>Futebol dos irmãos</t>
  </si>
  <si>
    <t>Livros:</t>
  </si>
  <si>
    <t>Livros "Amós" do  Pr. Misael</t>
  </si>
  <si>
    <t>Oferta Açao Social</t>
  </si>
  <si>
    <t>Oferta Construção</t>
  </si>
  <si>
    <t>Oferta Missionária</t>
  </si>
  <si>
    <t>Outras Restituiçoes:</t>
  </si>
  <si>
    <t>Depósito Presb. Rogério na conta (bradesco)</t>
  </si>
  <si>
    <t>Devolução de verba som e multimídia</t>
  </si>
  <si>
    <t>Devolução verba viagem UMP Uruguai</t>
  </si>
  <si>
    <t>Devlução de verba UPA 2024</t>
  </si>
  <si>
    <t>Oferta porta de correr Nova Granada (proprietario)</t>
  </si>
  <si>
    <t>Devolução ajudas</t>
  </si>
  <si>
    <t>Devolução lanche camarim Banda Purples</t>
  </si>
  <si>
    <t>PRIP Seminaristas mensalidades</t>
  </si>
  <si>
    <t>Rendimentos:</t>
  </si>
  <si>
    <t>Bradesco</t>
  </si>
  <si>
    <t xml:space="preserve">Sicoob </t>
  </si>
  <si>
    <t>Caixa</t>
  </si>
  <si>
    <t>Restituição empréstimo Presb. Marcus 7/36</t>
  </si>
  <si>
    <t>Total Não Dizimáveis Igreja:</t>
  </si>
  <si>
    <t>NÃO DIZIMAVEIS NOVA GRANDA</t>
  </si>
  <si>
    <t>Total não dizimáveis Nova Granada:</t>
  </si>
  <si>
    <t>Total geral de não dizimáveis:</t>
  </si>
  <si>
    <t>Total GERAL de Receitas:</t>
  </si>
  <si>
    <t>DESPESAS</t>
  </si>
  <si>
    <t>AÇÃO SOCIAL</t>
  </si>
  <si>
    <t>Funeraria</t>
  </si>
  <si>
    <t>Junta Diaconal</t>
  </si>
  <si>
    <t>Cesta básica</t>
  </si>
  <si>
    <t>Ação Social Irmãos</t>
  </si>
  <si>
    <t>Total Ação Social</t>
  </si>
  <si>
    <t>IGREJA - CAUSAS LOCAIS</t>
  </si>
  <si>
    <t>Água e esgosto</t>
  </si>
  <si>
    <t>Contador</t>
  </si>
  <si>
    <t>Energia Elétrica</t>
  </si>
  <si>
    <t>Eventos: aniversário da Igreja</t>
  </si>
  <si>
    <t>Banda Purples:</t>
  </si>
  <si>
    <t>Entrada/sinal Banda Purples</t>
  </si>
  <si>
    <t>Auxiliar de técnico de som Banda Purples</t>
  </si>
  <si>
    <t>Van de Campinas para Rio Preto Banda Purples</t>
  </si>
  <si>
    <t>Alimentação Banda Purples</t>
  </si>
  <si>
    <t>Logísticas (uber/taxi) Banda Purples</t>
  </si>
  <si>
    <t>Hospedagem Banda Purples</t>
  </si>
  <si>
    <t>Hospedagem motorista banda purples</t>
  </si>
  <si>
    <t>Oferta Banda Purples</t>
  </si>
  <si>
    <t>Lembrança ao membro mais idoso da igreja</t>
  </si>
  <si>
    <t>Lembrança ao membro mais jovem da igreja</t>
  </si>
  <si>
    <t>Bolo 30 Kg R$ 70/Kilo</t>
  </si>
  <si>
    <t>Refrigerantes para 500 pessoas</t>
  </si>
  <si>
    <t>Decoração/fotos</t>
  </si>
  <si>
    <t>Passagens/transporte Rev. Rosther</t>
  </si>
  <si>
    <t>Alimentação Rev. Rosther</t>
  </si>
  <si>
    <t>Hospedagem Rev. Rosther</t>
  </si>
  <si>
    <t>Presente/lembrança Rev. Rosther</t>
  </si>
  <si>
    <t>Oferta  Rev. Rosther</t>
  </si>
  <si>
    <t>Oferta Rev. Benones</t>
  </si>
  <si>
    <t>Coroa de flores</t>
  </si>
  <si>
    <t>Livros kit novos membros e bíblias Genebra 3/3</t>
  </si>
  <si>
    <t>Livros Kit novos membros 1/3</t>
  </si>
  <si>
    <t>Livros classe UPA "Isto é filtro solar"</t>
  </si>
  <si>
    <t>Livros presente aos arquitetos</t>
  </si>
  <si>
    <t xml:space="preserve">Livros ED adulto "Carta os Hebreus" </t>
  </si>
  <si>
    <t>Livros classe família</t>
  </si>
  <si>
    <t>Livros classe UMP</t>
  </si>
  <si>
    <t xml:space="preserve">Revistas ED Infantil </t>
  </si>
  <si>
    <t>Revistas Classe EPA</t>
  </si>
  <si>
    <t>Revistas ED Adultos</t>
  </si>
  <si>
    <t>2 bíblias irmão de Formosa - Pr. Misael 2/2</t>
  </si>
  <si>
    <t>Manual presbiteriano e livros conselho</t>
  </si>
  <si>
    <t xml:space="preserve">Medicina e Segurança do trabalho </t>
  </si>
  <si>
    <t>Papelaria e impressos/ boletins</t>
  </si>
  <si>
    <t>ENVELOPES OFERTAS</t>
  </si>
  <si>
    <t>Cálice e pão da ceia</t>
  </si>
  <si>
    <t>Descartáveis (copos, pratos, talher)</t>
  </si>
  <si>
    <t>Suporte de copos</t>
  </si>
  <si>
    <t>Bebidas reunião assinatura de contrato (area)</t>
  </si>
  <si>
    <t>Cafés para igreja</t>
  </si>
  <si>
    <t>Açucar para igreja - Reembolso</t>
  </si>
  <si>
    <t>Cafés para igreja sala pastoral</t>
  </si>
  <si>
    <t>Papel toalha; higiênico e copos, saco de lixo etc</t>
  </si>
  <si>
    <t>Produtos de limpeza</t>
  </si>
  <si>
    <t>Caixa igreja- café conselho, papelaria, tonner, etc</t>
  </si>
  <si>
    <t>Tonner impressora</t>
  </si>
  <si>
    <t>Uber serviços bançarios</t>
  </si>
  <si>
    <t>Cartório</t>
  </si>
  <si>
    <t>Outros materiais manutenção</t>
  </si>
  <si>
    <t>Vivo Móvel</t>
  </si>
  <si>
    <t>Vivo Telefone e Internet</t>
  </si>
  <si>
    <t>Vivo junta diaconal</t>
  </si>
  <si>
    <t>Total Causas Locais</t>
  </si>
  <si>
    <t>MISSÕES</t>
  </si>
  <si>
    <t>ASELB</t>
  </si>
  <si>
    <t>Gideões</t>
  </si>
  <si>
    <t>Missão Vida</t>
  </si>
  <si>
    <t>Missionários</t>
  </si>
  <si>
    <t>Total missões:</t>
  </si>
  <si>
    <t>CONGRUAS PASTORAIS</t>
  </si>
  <si>
    <t>Rev.Misael</t>
  </si>
  <si>
    <t>Adiantamento de Congrua</t>
  </si>
  <si>
    <t>Ajuda de Custo</t>
  </si>
  <si>
    <t>Auxilio Moradia</t>
  </si>
  <si>
    <t xml:space="preserve">Condomínio </t>
  </si>
  <si>
    <t xml:space="preserve">Côngrua </t>
  </si>
  <si>
    <t>FEP</t>
  </si>
  <si>
    <t>INSS</t>
  </si>
  <si>
    <t>IRRF</t>
  </si>
  <si>
    <t>Plano de Saude</t>
  </si>
  <si>
    <t xml:space="preserve">Seguro de vida </t>
  </si>
  <si>
    <t>Total Rev. Misael</t>
  </si>
  <si>
    <t>Rev. Gilbeto</t>
  </si>
  <si>
    <t>Bonus decênio</t>
  </si>
  <si>
    <t>Côngrua</t>
  </si>
  <si>
    <t>IRRF 13º</t>
  </si>
  <si>
    <t>13º</t>
  </si>
  <si>
    <t>Férias</t>
  </si>
  <si>
    <t>Total Rev. Gilberto</t>
  </si>
  <si>
    <t>Rev. Robson</t>
  </si>
  <si>
    <t>Ajuda de custo</t>
  </si>
  <si>
    <t>Congrua</t>
  </si>
  <si>
    <t>"Saque" de FEP</t>
  </si>
  <si>
    <t>Ferias</t>
  </si>
  <si>
    <t>Total Rev. Robson</t>
  </si>
  <si>
    <t xml:space="preserve"> Seminarista Francisco</t>
  </si>
  <si>
    <t xml:space="preserve">Ajuda de custo </t>
  </si>
  <si>
    <t>Condominio SPS</t>
  </si>
  <si>
    <t>Mensalidade</t>
  </si>
  <si>
    <t>Moradia</t>
  </si>
  <si>
    <t>Viagem a Rio Preto (passagens onibus)</t>
  </si>
  <si>
    <t>Alimentação Viagem Campinas Rio Preto</t>
  </si>
  <si>
    <t>ALIMENTAÇÃO RIO PRETO</t>
  </si>
  <si>
    <t>Passagem Rio Preto Balsamo</t>
  </si>
  <si>
    <t>Manutenção Moto</t>
  </si>
  <si>
    <t>Almentação na Chácara</t>
  </si>
  <si>
    <t>Higiene pessoal e limpeza/chacara</t>
  </si>
  <si>
    <t>UBER</t>
  </si>
  <si>
    <t>Total Sem. Francisco:</t>
  </si>
  <si>
    <t>Seminarista Welington</t>
  </si>
  <si>
    <t>Viagem a Rio Preto</t>
  </si>
  <si>
    <t>Manutenção carro</t>
  </si>
  <si>
    <t>Pedagio</t>
  </si>
  <si>
    <t>Alimentação Campinas/Rio Preto</t>
  </si>
  <si>
    <t>Viagem Rio Preto/Guapiaçu</t>
  </si>
  <si>
    <t>Total Sem. Welington:</t>
  </si>
  <si>
    <t>Total Congruas Pastorais:</t>
  </si>
  <si>
    <t>COLABORADORES</t>
  </si>
  <si>
    <t>ALESSANDRO</t>
  </si>
  <si>
    <t>Adiantamento de salário</t>
  </si>
  <si>
    <t>Plano de Saúde</t>
  </si>
  <si>
    <t xml:space="preserve">Salário </t>
  </si>
  <si>
    <t>Ticket refeição</t>
  </si>
  <si>
    <t>Total Alessandro:</t>
  </si>
  <si>
    <t>ANA RAMALHO</t>
  </si>
  <si>
    <t>Salário</t>
  </si>
  <si>
    <t>Ticket Refeição</t>
  </si>
  <si>
    <t>Vale transporte</t>
  </si>
  <si>
    <t>Acerto</t>
  </si>
  <si>
    <t>Total Ana:</t>
  </si>
  <si>
    <t>ABNER SANTANA</t>
  </si>
  <si>
    <t>Total Abner:</t>
  </si>
  <si>
    <t>Zeladoria</t>
  </si>
  <si>
    <t>Total Colaboradores:</t>
  </si>
  <si>
    <t>Prip</t>
  </si>
  <si>
    <t>Dizimo ao Supremo Concilio</t>
  </si>
  <si>
    <t>Total Verba Conciliares:</t>
  </si>
  <si>
    <t>Ministério de Transmissão:</t>
  </si>
  <si>
    <t>Verba</t>
  </si>
  <si>
    <t>Fones de ouvido</t>
  </si>
  <si>
    <t xml:space="preserve">Conserto da câmera </t>
  </si>
  <si>
    <t>Transmissor de vídeo</t>
  </si>
  <si>
    <t>Cabo HDMI</t>
  </si>
  <si>
    <t>Total transmissão:</t>
  </si>
  <si>
    <t>A) AÇÃO SOCIAL</t>
  </si>
  <si>
    <t>Junta Diaconal/Açao Social</t>
  </si>
  <si>
    <t>Consulta médica irmão Ulisses</t>
  </si>
  <si>
    <t>Exames irmão Ulisses</t>
  </si>
  <si>
    <t>ANA</t>
  </si>
  <si>
    <t>Ajuda Felipe Bernadino - junta</t>
  </si>
  <si>
    <t>Total Ação Social:</t>
  </si>
  <si>
    <t>B) CHÁCARA</t>
  </si>
  <si>
    <t>Investimento:</t>
  </si>
  <si>
    <t>Trator cortador de grama 6/9</t>
  </si>
  <si>
    <t>Ar-condicionados ap seminaristas</t>
  </si>
  <si>
    <t>Investimento fossa</t>
  </si>
  <si>
    <t xml:space="preserve">Perfuração da fossa </t>
  </si>
  <si>
    <t>Canos</t>
  </si>
  <si>
    <t>Reembolso Alessandro: Vigota</t>
  </si>
  <si>
    <t>Ventiladores chácara</t>
  </si>
  <si>
    <t>Itens para cozinha</t>
  </si>
  <si>
    <t>Colchões ap seminaristas</t>
  </si>
  <si>
    <t>Total investimento:</t>
  </si>
  <si>
    <t>Manutenção:</t>
  </si>
  <si>
    <t xml:space="preserve">Reembolso Alessandro: Gasolina </t>
  </si>
  <si>
    <t>Reembolso Alessandro: Produtos de limpeza</t>
  </si>
  <si>
    <t>Reembolso Alessandro: Cal e gasolina</t>
  </si>
  <si>
    <t>Reembolso Alessandro: Cal, gasolina e inseticida</t>
  </si>
  <si>
    <t>Reembolso Alessandro: Material limpeza</t>
  </si>
  <si>
    <t>Reembolso Alessandro: Ducha</t>
  </si>
  <si>
    <t>Reembolso Alessandro: Areia</t>
  </si>
  <si>
    <t>Reembolso Alessandro: Mangueria</t>
  </si>
  <si>
    <t>Total reembolso Alessandro:</t>
  </si>
  <si>
    <t>Limpeza da fossa</t>
  </si>
  <si>
    <t>Oleo</t>
  </si>
  <si>
    <t>Oleo e lamina trator</t>
  </si>
  <si>
    <t>Serviço Jefferson: Materiais</t>
  </si>
  <si>
    <t>Serviço Jefferson</t>
  </si>
  <si>
    <t>Entulho</t>
  </si>
  <si>
    <t>Fita crepe</t>
  </si>
  <si>
    <t>Manutenção e reforma (Ronivan)</t>
  </si>
  <si>
    <t>Manutenção e reforma (Pisos)</t>
  </si>
  <si>
    <t>Manutenção e reforma (Jec Metais)</t>
  </si>
  <si>
    <t>Manutenção e reforma (Concretagem)</t>
  </si>
  <si>
    <t>Manutenção e reforma (Serviço Concretagem)</t>
  </si>
  <si>
    <t>Manutenção e reforma (Calhas)</t>
  </si>
  <si>
    <t>Manutenção e reforma (Gesso)</t>
  </si>
  <si>
    <t>Manutenção e reforma (instalação de gás)</t>
  </si>
  <si>
    <t>Reforma da cozinha</t>
  </si>
  <si>
    <t>Coifa cozinha (2 parcelas)</t>
  </si>
  <si>
    <t>Instalação de ares quarto semi.</t>
  </si>
  <si>
    <t>Espuma</t>
  </si>
  <si>
    <t>Gás chácara acampamento</t>
  </si>
  <si>
    <t xml:space="preserve">Gás chácara </t>
  </si>
  <si>
    <t>Frete itens para cozinha</t>
  </si>
  <si>
    <t>Locação de conteiner</t>
  </si>
  <si>
    <t>Total manutenção:</t>
  </si>
  <si>
    <t>Total Chácara:</t>
  </si>
  <si>
    <t>C1) Rev.Misael</t>
  </si>
  <si>
    <t>Total Rev. Misael:</t>
  </si>
  <si>
    <t>C2 ) Rev. Gilbeto</t>
  </si>
  <si>
    <t xml:space="preserve">Total Rev. Gilberto: </t>
  </si>
  <si>
    <t>C3) Rev. Robson</t>
  </si>
  <si>
    <t>Despesas Lic. Rogério:</t>
  </si>
  <si>
    <t>Ajuda de custo Rogério Cruz</t>
  </si>
  <si>
    <t>Ajuste ajuda de custo Rogério Cruz</t>
  </si>
  <si>
    <t xml:space="preserve">Psicóloga Rogério Cruz </t>
  </si>
  <si>
    <t xml:space="preserve"> C4) Seminarista Francisco</t>
  </si>
  <si>
    <t>Alimentação em Balsamo</t>
  </si>
  <si>
    <t>C5)Seminarista Welington</t>
  </si>
  <si>
    <t>D) IGREJA</t>
  </si>
  <si>
    <t>Entrada/sinal em 17/02/2025</t>
  </si>
  <si>
    <t>Auxiliar de técnico de som</t>
  </si>
  <si>
    <t>Van de Campinas para Rio Preto</t>
  </si>
  <si>
    <t>Alimentação: estrada, almoço, lanche e jantar</t>
  </si>
  <si>
    <t>Logísticas (uber/taxi)</t>
  </si>
  <si>
    <t>Hospedagem banda</t>
  </si>
  <si>
    <t>Oferta</t>
  </si>
  <si>
    <t>Total banda purples:</t>
  </si>
  <si>
    <t>Bolo, refrigerante, decoração etc</t>
  </si>
  <si>
    <t xml:space="preserve">Lembrança à Dona Maria Clara de Oliveira Nascimento, viúva do </t>
  </si>
  <si>
    <t xml:space="preserve">Rev. Nelson do Nascimento, pastor de 11/06/73 a 15/01/74 </t>
  </si>
  <si>
    <t xml:space="preserve">e 12/10 a 23/12/91 e 03/01/95 a 31/12/97 </t>
  </si>
  <si>
    <t>Total bolo, refrigerante, decoração, homenagens:</t>
  </si>
  <si>
    <t>Preletores</t>
  </si>
  <si>
    <t>Rev. Rosther</t>
  </si>
  <si>
    <t>Passagens/transporte</t>
  </si>
  <si>
    <t>Alimentação</t>
  </si>
  <si>
    <t>Hospedagem</t>
  </si>
  <si>
    <t>Presente/lembrança</t>
  </si>
  <si>
    <t>Total Rev. Rosther:</t>
  </si>
  <si>
    <t>Rev. Benones</t>
  </si>
  <si>
    <t>Total Rev. Benones:</t>
  </si>
  <si>
    <t>Total evento/aniversário da Igreja:</t>
  </si>
  <si>
    <t>Floriprev:</t>
  </si>
  <si>
    <t>Abril</t>
  </si>
  <si>
    <t>Maio</t>
  </si>
  <si>
    <t>Total boletins:</t>
  </si>
  <si>
    <t>Preletores/hotel/ofertas:</t>
  </si>
  <si>
    <t>Supermercados:</t>
  </si>
  <si>
    <t>Total supermercado:</t>
  </si>
  <si>
    <t>Material de limpeza:</t>
  </si>
  <si>
    <t>Papel toalh,agua sanita, rodo e tapetes</t>
  </si>
  <si>
    <t>Total material de limpeza:</t>
  </si>
  <si>
    <t>Secretraria:</t>
  </si>
  <si>
    <t>Outros</t>
  </si>
  <si>
    <t>Total secretaria igreja:</t>
  </si>
  <si>
    <t>Telefone:</t>
  </si>
  <si>
    <t>Total telefone:</t>
  </si>
  <si>
    <t>Site da Igreja</t>
  </si>
  <si>
    <t>Site</t>
  </si>
  <si>
    <t>RigthNow Midia</t>
  </si>
  <si>
    <t>SoundClound</t>
  </si>
  <si>
    <t>Total site da igreja:</t>
  </si>
  <si>
    <t>Serviços Gráficos/Recepção</t>
  </si>
  <si>
    <t>Licenças de softwares e sistema</t>
  </si>
  <si>
    <t>Adobe atual</t>
  </si>
  <si>
    <t>Adobe nova assinatura</t>
  </si>
  <si>
    <t>Adesão maquina de cartão</t>
  </si>
  <si>
    <t>Assinatura ZOOM</t>
  </si>
  <si>
    <t>Antivírus computador Pr. Gilberto</t>
  </si>
  <si>
    <t xml:space="preserve">Microsoft </t>
  </si>
  <si>
    <t>Microsoft copilot - reembolso Pr. Misael</t>
  </si>
  <si>
    <t>Assinatura Gama App - reembolso Pr. Misael</t>
  </si>
  <si>
    <t>Movavi</t>
  </si>
  <si>
    <t>PARANAFER</t>
  </si>
  <si>
    <t>Sistema Prover.</t>
  </si>
  <si>
    <t>GOOGLE ONE (E-MAIL E OUTROS SERVIÇOS)</t>
  </si>
  <si>
    <t>PARALLES SOFTWARE - ANUAL</t>
  </si>
  <si>
    <t>CERTIFICADO DIGITAL CNPJ IGREJA</t>
  </si>
  <si>
    <t>TEMPLATE SITE IGREJA - ANUAL</t>
  </si>
  <si>
    <t>Total softwares e sistemas:</t>
  </si>
  <si>
    <t>Seguro igreja 4/4</t>
  </si>
  <si>
    <t>Lanche do Conselho:</t>
  </si>
  <si>
    <t>Pães, embutidos e sucos</t>
  </si>
  <si>
    <t>Pães e embutidos</t>
  </si>
  <si>
    <t>Sucos e cafés</t>
  </si>
  <si>
    <t>Total lanche do conselho:</t>
  </si>
  <si>
    <t>Vigilancia Gomes e Oliveira (marissol):</t>
  </si>
  <si>
    <t xml:space="preserve">Vigia de veículos </t>
  </si>
  <si>
    <t>Outros:</t>
  </si>
  <si>
    <t>Folha sulfite e cabo HDMI (reembolso Pr. Misael)</t>
  </si>
  <si>
    <t>Reembolso Presb. Rogério (conta igreja)</t>
  </si>
  <si>
    <t>Café da manhã junta diaconal maio</t>
  </si>
  <si>
    <t>Passagens arquiteta Aline</t>
  </si>
  <si>
    <t>Apostilas treinamento GIS</t>
  </si>
  <si>
    <t>Cadeiras para Guapiaçu</t>
  </si>
  <si>
    <t>Guarda-chuvas junta diaconal</t>
  </si>
  <si>
    <t>Material evangelistico</t>
  </si>
  <si>
    <t>Passagens Rev. Robson viagem miss. Uruguai</t>
  </si>
  <si>
    <t>VERBA PARA PARTICIPACAO NO NAUPA 2026</t>
  </si>
  <si>
    <t>Verba viagem missionária UMP - Uruguai</t>
  </si>
  <si>
    <t>Uvas artificiais ceia (reembolso Luciene)</t>
  </si>
  <si>
    <t>Reembolso acampamento - irmão Benhur</t>
  </si>
  <si>
    <t>Coletes - futebol dos irmãos</t>
  </si>
  <si>
    <t>Chaves junta diaconal - reembolso Amauri</t>
  </si>
  <si>
    <t xml:space="preserve">Ressarcimento Pr. Misael </t>
  </si>
  <si>
    <t>Total de outros:</t>
  </si>
  <si>
    <t>Total Geral Igreja:</t>
  </si>
  <si>
    <t>Nova Granada:</t>
  </si>
  <si>
    <t>Aluguel Nova Granada</t>
  </si>
  <si>
    <t>Agua e Esgoto Nova Granada</t>
  </si>
  <si>
    <t>Energia Elétrica Nova Granada</t>
  </si>
  <si>
    <t>Material de limpeza Nova Granada</t>
  </si>
  <si>
    <t>Ministérios Nova Granada</t>
  </si>
  <si>
    <t>Seguro Nova Granada 2/4</t>
  </si>
  <si>
    <t>Placa, tomada, cadeado, broca e correia</t>
  </si>
  <si>
    <t>Acento e placa</t>
  </si>
  <si>
    <t>Manutenção Nova Granada:</t>
  </si>
  <si>
    <t>Carimbo Nova Granada</t>
  </si>
  <si>
    <t>Material elétrico</t>
  </si>
  <si>
    <t>Empreiteiro Marcelo</t>
  </si>
  <si>
    <t>Bebedouro</t>
  </si>
  <si>
    <t>Materiais elétricos - reembolso Rogério</t>
  </si>
  <si>
    <t>Cadeiras</t>
  </si>
  <si>
    <t>Instrumentos musicais</t>
  </si>
  <si>
    <t>Tintas</t>
  </si>
  <si>
    <t>Extintores Nova Granada</t>
  </si>
  <si>
    <t>Andaime e capim</t>
  </si>
  <si>
    <t>Marmita e bombeiros</t>
  </si>
  <si>
    <t>Pintor fachada</t>
  </si>
  <si>
    <t>Carpetes</t>
  </si>
  <si>
    <t>Trilho e puxador</t>
  </si>
  <si>
    <t>Madeira</t>
  </si>
  <si>
    <t>Tapeçaria</t>
  </si>
  <si>
    <t>Material para forro nova granada</t>
  </si>
  <si>
    <t>Forro nova granada</t>
  </si>
  <si>
    <t>Eletricista nova granada</t>
  </si>
  <si>
    <t>Drywall nova granada</t>
  </si>
  <si>
    <t>Pintor nova granada</t>
  </si>
  <si>
    <t>Total Nova Granada:</t>
  </si>
  <si>
    <t>E) IMPOSTOS, TARIFAS E JUROS</t>
  </si>
  <si>
    <t>Anuidade cartão de crédito</t>
  </si>
  <si>
    <t xml:space="preserve">Guia da Previdencia Social/ GPS </t>
  </si>
  <si>
    <t>Guia de Recolhimento do FGTS</t>
  </si>
  <si>
    <t>IOF</t>
  </si>
  <si>
    <t>IOF adic rotativo</t>
  </si>
  <si>
    <t>IOF diario rotativo</t>
  </si>
  <si>
    <t>Multa contratual</t>
  </si>
  <si>
    <t>Encardos de mora</t>
  </si>
  <si>
    <t>Encargos atraso</t>
  </si>
  <si>
    <t>Tarifas Bancarias</t>
  </si>
  <si>
    <t>TAXA TRANSFERENCIA PAYPAL</t>
  </si>
  <si>
    <t>Taxas Stone</t>
  </si>
  <si>
    <t>Taxas e-Prover</t>
  </si>
  <si>
    <t>Total Impostos, tarifas e juros:</t>
  </si>
  <si>
    <t>F) MANUTENÇÃO E REFORMA TEMPLO/E.C.C</t>
  </si>
  <si>
    <t>Aquisição de bens:</t>
  </si>
  <si>
    <t>Climatizador</t>
  </si>
  <si>
    <t>AR-CONDICIONADO TEMPLO</t>
  </si>
  <si>
    <t>AR-CONDICIONADO BERCARIO</t>
  </si>
  <si>
    <t>Ar-condicionado sala SAF</t>
  </si>
  <si>
    <t>Ventilador entrada templo</t>
  </si>
  <si>
    <t>Motor novo do portão</t>
  </si>
  <si>
    <t>Total aquisição de bens:</t>
  </si>
  <si>
    <t>Manutenção Geral</t>
  </si>
  <si>
    <t>Mundial elevadores</t>
  </si>
  <si>
    <t>Gás para a igreja</t>
  </si>
  <si>
    <t>Cadeado portão</t>
  </si>
  <si>
    <t>Peças p/ mictório banheiro</t>
  </si>
  <si>
    <t>Bombeiros: brigada, recarga extintores etc</t>
  </si>
  <si>
    <t>Compressor ares-condicionados templo 3/3</t>
  </si>
  <si>
    <t>Serviço - troca de cuba banheiro feminino</t>
  </si>
  <si>
    <t xml:space="preserve">Serviço Jefferson - conserto luzes </t>
  </si>
  <si>
    <t>Serviço Jefferson e materil - tubos caixa d'agua</t>
  </si>
  <si>
    <t xml:space="preserve">Serviço Jefferson - boia e troca da boia caixa d'agua </t>
  </si>
  <si>
    <t>Sensor alarme portão 3/3</t>
  </si>
  <si>
    <t>EletricaBel: painel led</t>
  </si>
  <si>
    <t>Multielétrica: canaleta</t>
  </si>
  <si>
    <t>Multielétrica: canaleta, refletor, compose</t>
  </si>
  <si>
    <t>Multielétrica: drive led e lampadas</t>
  </si>
  <si>
    <t>Multielétrica: refletor</t>
  </si>
  <si>
    <t>Material e serviço Elizeu - instalaçao telão</t>
  </si>
  <si>
    <t>Troca refis bebedouros sec. e templo</t>
  </si>
  <si>
    <t>Gesseiro - tampa buraco ar-condicionado</t>
  </si>
  <si>
    <t>Instalação ar-condicionado sala SAF (Julio)</t>
  </si>
  <si>
    <t>TEK BOND aplicador silicone - reembolso Amauri</t>
  </si>
  <si>
    <t>Conserto porta de vidro secretaria</t>
  </si>
  <si>
    <t>Troca de alarme</t>
  </si>
  <si>
    <t>Dedetização da igreja</t>
  </si>
  <si>
    <t>Luzes jardim - Luis Eletricista</t>
  </si>
  <si>
    <t>Reforma:</t>
  </si>
  <si>
    <t>Fundo aquisição de bens/Construção Nova Area igreja:</t>
  </si>
  <si>
    <t>Entrada aquisição de área - Presb. Antonio</t>
  </si>
  <si>
    <t>Parcela 2/180 aquisição de área</t>
  </si>
  <si>
    <t>Total fundo aquisição/construção nova area:</t>
  </si>
  <si>
    <t>Total geral Manutenção e Reforma:</t>
  </si>
  <si>
    <t>G) MINISTERIOS</t>
  </si>
  <si>
    <t>ACAMPAMENTO</t>
  </si>
  <si>
    <t>Aluguel freezer, forno e cerevejeira</t>
  </si>
  <si>
    <t>Devolução Jefferson Bar - pagou 2x</t>
  </si>
  <si>
    <t>Devolução inscrição Otavio - não foi</t>
  </si>
  <si>
    <t>Reembolso Talita Polotto</t>
  </si>
  <si>
    <t>Reembolso Diac. Cardoso</t>
  </si>
  <si>
    <t xml:space="preserve">Bebidas </t>
  </si>
  <si>
    <t>Apostilas impressas</t>
  </si>
  <si>
    <t>Total acampamento:</t>
  </si>
  <si>
    <t>ALMOXARIFADO</t>
  </si>
  <si>
    <t>CASAIS</t>
  </si>
  <si>
    <t xml:space="preserve">CORAL </t>
  </si>
  <si>
    <t>DEPARTAMENTO INFANTIL</t>
  </si>
  <si>
    <t>EBF</t>
  </si>
  <si>
    <t>1. Abertura e Coral Infantil</t>
  </si>
  <si>
    <t>2. Culto Infantil</t>
  </si>
  <si>
    <t>3. EBD Infantil</t>
  </si>
  <si>
    <t>4. Lembrancinhas</t>
  </si>
  <si>
    <t>5. Verba Auxilio Congresso:</t>
  </si>
  <si>
    <t>Total DP Infantil:</t>
  </si>
  <si>
    <t>ED (adulto)</t>
  </si>
  <si>
    <t>GIS</t>
  </si>
  <si>
    <t>Recepção</t>
  </si>
  <si>
    <t>SAF</t>
  </si>
  <si>
    <t>UCP/EPA</t>
  </si>
  <si>
    <t>UMP</t>
  </si>
  <si>
    <t>UPA</t>
  </si>
  <si>
    <t>UPH</t>
  </si>
  <si>
    <t>Seguro carro missao vida 01/10</t>
  </si>
  <si>
    <t xml:space="preserve">Som e Multimidia </t>
  </si>
  <si>
    <t>MICROFONES</t>
  </si>
  <si>
    <t>Afinação dos pianos</t>
  </si>
  <si>
    <t>Verba som e multimídia</t>
  </si>
  <si>
    <t>Cabos e fones</t>
  </si>
  <si>
    <t>Manutenção mesa de som e caixa</t>
  </si>
  <si>
    <t>Total som e multimídia:</t>
  </si>
  <si>
    <t>Comunicação e Redes sociais:</t>
  </si>
  <si>
    <t>Midias sociais - Lucas Tarrasco</t>
  </si>
  <si>
    <t>Podcast Calvinamente</t>
  </si>
  <si>
    <t>Total comunicação e redes sociais:</t>
  </si>
  <si>
    <t xml:space="preserve">Total Ministérios: </t>
  </si>
  <si>
    <t>I) COLABORADORES</t>
  </si>
  <si>
    <t>J) VERBAS CONCILIARES</t>
  </si>
  <si>
    <t>Total livros:</t>
  </si>
  <si>
    <t>Total de Despesas:</t>
  </si>
  <si>
    <t>NÃO DIZIMAVEIS NOVA GRANADA</t>
  </si>
  <si>
    <t>Total de Receitas</t>
  </si>
  <si>
    <t>Total Despesas Nova Granada:</t>
  </si>
  <si>
    <t>Superávit / Déficit</t>
  </si>
  <si>
    <t>Total Seminarista e 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</si>
</sst>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4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rgb="FFFF0000"/>
      <name val="Aptos Narrow"/>
      <scheme val="minor"/>
    </font>
    <font>
      <sz val="14"/>
      <name val="Aptos Narrow"/>
      <scheme val="minor"/>
    </font>
    <font>
      <b/>
      <sz val="14"/>
      <name val="Aptos Narrow"/>
      <scheme val="minor"/>
    </font>
    <font>
      <b/>
      <u/>
      <sz val="14"/>
      <color theme="1"/>
      <name val="Aptos Narrow"/>
      <scheme val="minor"/>
    </font>
    <font>
      <b/>
      <u/>
      <sz val="14"/>
      <name val="Aptos Narrow"/>
      <scheme val="minor"/>
    </font>
    <font>
      <b/>
      <sz val="15"/>
      <color theme="1"/>
      <name val="Aptos Narrow"/>
      <scheme val="minor"/>
    </font>
    <font>
      <sz val="15"/>
      <name val="Aptos Narrow"/>
      <scheme val="minor"/>
    </font>
    <font>
      <sz val="12"/>
      <color theme="1"/>
      <name val="Aptos Narrow"/>
      <scheme val="minor"/>
    </font>
    <font>
      <b/>
      <u/>
      <sz val="15"/>
      <color rgb="FF000000"/>
      <name val="Aptos Narrow"/>
      <scheme val="minor"/>
    </font>
    <font>
      <b/>
      <sz val="14"/>
      <color rgb="FF000000"/>
      <name val="Aptos Narrow"/>
      <family val="2"/>
      <scheme val="minor"/>
    </font>
    <font>
      <b/>
      <sz val="14"/>
      <color rgb="FF000000"/>
      <name val="Aptos Narrow"/>
      <scheme val="minor"/>
    </font>
    <font>
      <sz val="14"/>
      <color rgb="FF000000"/>
      <name val="Aptos Narrow"/>
      <scheme val="minor"/>
    </font>
    <font>
      <b/>
      <sz val="14"/>
      <color rgb="FF196B24"/>
      <name val="Aptos Narrow"/>
      <scheme val="minor"/>
    </font>
    <font>
      <sz val="14"/>
      <color rgb="FF4EA72E"/>
      <name val="Aptos Narrow"/>
      <family val="2"/>
      <scheme val="minor"/>
    </font>
    <font>
      <b/>
      <sz val="14"/>
      <color rgb="FF4EA72E"/>
      <name val="Aptos Narrow"/>
      <scheme val="minor"/>
    </font>
    <font>
      <b/>
      <u/>
      <sz val="14"/>
      <color rgb="FF000000"/>
      <name val="Aptos Narrow"/>
      <scheme val="minor"/>
    </font>
    <font>
      <b/>
      <sz val="14"/>
      <color rgb="FF3C7D22"/>
      <name val="Aptos Narrow"/>
      <scheme val="minor"/>
    </font>
    <font>
      <b/>
      <u/>
      <sz val="16"/>
      <color rgb="FF000000"/>
      <name val="Aptos Narrow"/>
      <scheme val="minor"/>
    </font>
    <font>
      <b/>
      <sz val="16"/>
      <color rgb="FF4EA72E"/>
      <name val="Aptos Narrow"/>
      <scheme val="minor"/>
    </font>
    <font>
      <b/>
      <sz val="16"/>
      <color rgb="FF196B24"/>
      <name val="Aptos Narrow"/>
      <scheme val="minor"/>
    </font>
    <font>
      <b/>
      <sz val="18"/>
      <color rgb="FF196B24"/>
      <name val="Aptos Narrow"/>
      <scheme val="minor"/>
    </font>
    <font>
      <sz val="16"/>
      <color theme="1"/>
      <name val="Aptos Narrow"/>
      <scheme val="minor"/>
    </font>
    <font>
      <b/>
      <sz val="22"/>
      <name val="Aptos Narrow"/>
      <scheme val="minor"/>
    </font>
    <font>
      <sz val="22"/>
      <color theme="1"/>
      <name val="Aptos Narrow"/>
      <scheme val="minor"/>
    </font>
    <font>
      <sz val="16"/>
      <name val="Aptos Narrow"/>
      <scheme val="minor"/>
    </font>
    <font>
      <sz val="14"/>
      <color rgb="FF000000"/>
      <name val="-webkit-standard"/>
    </font>
    <font>
      <b/>
      <sz val="16"/>
      <color theme="1"/>
      <name val="Aptos Narrow"/>
      <scheme val="minor"/>
    </font>
    <font>
      <b/>
      <sz val="22"/>
      <color theme="1"/>
      <name val="Aptos Narrow"/>
      <scheme val="minor"/>
    </font>
    <font>
      <b/>
      <sz val="22"/>
      <color rgb="FF000000"/>
      <name val="Aptos Narrow"/>
      <scheme val="minor"/>
    </font>
    <font>
      <b/>
      <sz val="16"/>
      <color rgb="FF000000"/>
      <name val="Aptos Narrow"/>
      <scheme val="minor"/>
    </font>
    <font>
      <b/>
      <sz val="16"/>
      <color rgb="FF000000"/>
      <name val="Aptos Display"/>
      <scheme val="major"/>
    </font>
    <font>
      <b/>
      <sz val="16"/>
      <color theme="0"/>
      <name val="Aptos Narrow"/>
      <scheme val="minor"/>
    </font>
    <font>
      <sz val="14"/>
      <name val="Arial"/>
      <family val="2"/>
      <charset val="1"/>
    </font>
    <font>
      <b/>
      <sz val="14"/>
      <name val="Aptos Narrow"/>
      <family val="2"/>
      <scheme val="minor"/>
    </font>
    <font>
      <sz val="12"/>
      <name val="Aptos Narrow"/>
      <scheme val="minor"/>
    </font>
    <font>
      <u/>
      <sz val="12"/>
      <name val="Aptos Narrow"/>
      <scheme val="minor"/>
    </font>
    <font>
      <b/>
      <sz val="16"/>
      <name val="Aptos Narrow"/>
      <scheme val="minor"/>
    </font>
    <font>
      <b/>
      <sz val="14"/>
      <color theme="9"/>
      <name val="Aptos Narrow"/>
      <scheme val="minor"/>
    </font>
    <font>
      <b/>
      <sz val="18"/>
      <name val="Aptos Narrow"/>
      <scheme val="minor"/>
    </font>
    <font>
      <b/>
      <sz val="15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59">
    <xf numFmtId="0" fontId="0" fillId="0" borderId="0" xfId="0"/>
    <xf numFmtId="0" fontId="0" fillId="0" borderId="1" xfId="0" applyBorder="1"/>
    <xf numFmtId="164" fontId="2" fillId="0" borderId="1" xfId="0" applyNumberFormat="1" applyFont="1" applyBorder="1"/>
    <xf numFmtId="164" fontId="4" fillId="0" borderId="1" xfId="0" applyNumberFormat="1" applyFont="1" applyBorder="1"/>
    <xf numFmtId="164" fontId="9" fillId="0" borderId="1" xfId="0" applyNumberFormat="1" applyFont="1" applyBorder="1"/>
    <xf numFmtId="0" fontId="10" fillId="0" borderId="1" xfId="0" applyFont="1" applyBorder="1" applyAlignment="1">
      <alignment horizontal="left" wrapText="1"/>
    </xf>
    <xf numFmtId="164" fontId="2" fillId="2" borderId="1" xfId="0" applyNumberFormat="1" applyFont="1" applyFill="1" applyBorder="1"/>
    <xf numFmtId="164" fontId="9" fillId="2" borderId="1" xfId="0" applyNumberFormat="1" applyFont="1" applyFill="1" applyBorder="1"/>
    <xf numFmtId="0" fontId="17" fillId="0" borderId="2" xfId="0" applyFont="1" applyBorder="1" applyAlignment="1">
      <alignment horizontal="left"/>
    </xf>
    <xf numFmtId="0" fontId="18" fillId="0" borderId="4" xfId="0" applyFont="1" applyBorder="1" applyAlignment="1">
      <alignment horizontal="center"/>
    </xf>
    <xf numFmtId="0" fontId="18" fillId="3" borderId="4" xfId="0" applyFont="1" applyFill="1" applyBorder="1" applyAlignment="1">
      <alignment horizontal="center"/>
    </xf>
    <xf numFmtId="164" fontId="19" fillId="4" borderId="4" xfId="0" applyNumberFormat="1" applyFont="1" applyFill="1" applyBorder="1" applyAlignment="1">
      <alignment horizontal="center"/>
    </xf>
    <xf numFmtId="0" fontId="20" fillId="0" borderId="2" xfId="0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19" fillId="0" borderId="3" xfId="0" applyFont="1" applyBorder="1" applyAlignment="1">
      <alignment horizontal="left"/>
    </xf>
    <xf numFmtId="0" fontId="19" fillId="0" borderId="5" xfId="0" applyFont="1" applyBorder="1" applyAlignment="1">
      <alignment horizontal="left"/>
    </xf>
    <xf numFmtId="0" fontId="20" fillId="0" borderId="9" xfId="0" applyFont="1" applyBorder="1" applyAlignment="1">
      <alignment horizontal="left"/>
    </xf>
    <xf numFmtId="0" fontId="19" fillId="0" borderId="9" xfId="0" applyFont="1" applyBorder="1" applyAlignment="1">
      <alignment horizontal="left"/>
    </xf>
    <xf numFmtId="0" fontId="20" fillId="0" borderId="2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24" fillId="0" borderId="9" xfId="0" applyFont="1" applyBorder="1" applyAlignment="1">
      <alignment horizontal="left" vertical="center"/>
    </xf>
    <xf numFmtId="0" fontId="19" fillId="0" borderId="6" xfId="0" applyFont="1" applyBorder="1" applyAlignment="1">
      <alignment horizontal="left"/>
    </xf>
    <xf numFmtId="0" fontId="26" fillId="5" borderId="2" xfId="0" applyFont="1" applyFill="1" applyBorder="1" applyAlignment="1">
      <alignment horizontal="left"/>
    </xf>
    <xf numFmtId="0" fontId="30" fillId="0" borderId="0" xfId="0" applyFont="1"/>
    <xf numFmtId="164" fontId="5" fillId="0" borderId="6" xfId="0" applyNumberFormat="1" applyFont="1" applyBorder="1" applyAlignment="1">
      <alignment horizontal="right" vertical="center"/>
    </xf>
    <xf numFmtId="164" fontId="5" fillId="3" borderId="6" xfId="0" applyNumberFormat="1" applyFont="1" applyFill="1" applyBorder="1" applyAlignment="1">
      <alignment horizontal="right" vertical="center"/>
    </xf>
    <xf numFmtId="164" fontId="22" fillId="0" borderId="6" xfId="0" applyNumberFormat="1" applyFont="1" applyBorder="1" applyAlignment="1">
      <alignment horizontal="right" vertical="center"/>
    </xf>
    <xf numFmtId="164" fontId="22" fillId="3" borderId="6" xfId="0" applyNumberFormat="1" applyFont="1" applyFill="1" applyBorder="1" applyAlignment="1">
      <alignment horizontal="right" vertical="center"/>
    </xf>
    <xf numFmtId="164" fontId="22" fillId="0" borderId="8" xfId="0" applyNumberFormat="1" applyFont="1" applyBorder="1" applyAlignment="1">
      <alignment horizontal="right" vertical="center"/>
    </xf>
    <xf numFmtId="164" fontId="5" fillId="0" borderId="8" xfId="0" applyNumberFormat="1" applyFont="1" applyBorder="1" applyAlignment="1">
      <alignment horizontal="right" vertical="center"/>
    </xf>
    <xf numFmtId="164" fontId="5" fillId="3" borderId="8" xfId="0" applyNumberFormat="1" applyFont="1" applyFill="1" applyBorder="1" applyAlignment="1">
      <alignment horizontal="right" vertical="center"/>
    </xf>
    <xf numFmtId="164" fontId="22" fillId="0" borderId="4" xfId="0" applyNumberFormat="1" applyFont="1" applyBorder="1" applyAlignment="1">
      <alignment horizontal="right" vertical="center"/>
    </xf>
    <xf numFmtId="164" fontId="5" fillId="0" borderId="4" xfId="0" applyNumberFormat="1" applyFont="1" applyBorder="1" applyAlignment="1">
      <alignment horizontal="right" vertical="center"/>
    </xf>
    <xf numFmtId="164" fontId="5" fillId="3" borderId="4" xfId="0" applyNumberFormat="1" applyFont="1" applyFill="1" applyBorder="1" applyAlignment="1">
      <alignment horizontal="right" vertical="center"/>
    </xf>
    <xf numFmtId="164" fontId="6" fillId="0" borderId="6" xfId="0" applyNumberFormat="1" applyFont="1" applyBorder="1" applyAlignment="1">
      <alignment horizontal="right" vertical="center"/>
    </xf>
    <xf numFmtId="164" fontId="23" fillId="0" borderId="6" xfId="0" applyNumberFormat="1" applyFont="1" applyBorder="1" applyAlignment="1">
      <alignment horizontal="right" vertical="center"/>
    </xf>
    <xf numFmtId="164" fontId="6" fillId="3" borderId="6" xfId="0" applyNumberFormat="1" applyFont="1" applyFill="1" applyBorder="1" applyAlignment="1">
      <alignment horizontal="right" vertical="center"/>
    </xf>
    <xf numFmtId="164" fontId="25" fillId="0" borderId="6" xfId="0" applyNumberFormat="1" applyFont="1" applyBorder="1" applyAlignment="1">
      <alignment horizontal="right" vertical="center"/>
    </xf>
    <xf numFmtId="164" fontId="27" fillId="0" borderId="6" xfId="0" applyNumberFormat="1" applyFont="1" applyBorder="1" applyAlignment="1">
      <alignment horizontal="right" vertical="center"/>
    </xf>
    <xf numFmtId="164" fontId="21" fillId="4" borderId="6" xfId="0" applyNumberFormat="1" applyFont="1" applyFill="1" applyBorder="1" applyAlignment="1">
      <alignment vertical="center"/>
    </xf>
    <xf numFmtId="164" fontId="28" fillId="4" borderId="6" xfId="0" applyNumberFormat="1" applyFont="1" applyFill="1" applyBorder="1" applyAlignment="1">
      <alignment vertical="center"/>
    </xf>
    <xf numFmtId="164" fontId="2" fillId="0" borderId="7" xfId="2" applyNumberFormat="1" applyFont="1" applyBorder="1" applyAlignment="1">
      <alignment horizontal="right"/>
    </xf>
    <xf numFmtId="0" fontId="0" fillId="2" borderId="1" xfId="0" applyFill="1" applyBorder="1"/>
    <xf numFmtId="0" fontId="33" fillId="0" borderId="1" xfId="0" applyFont="1" applyBorder="1" applyAlignment="1">
      <alignment horizontal="left" wrapText="1"/>
    </xf>
    <xf numFmtId="0" fontId="34" fillId="0" borderId="0" xfId="0" applyFont="1"/>
    <xf numFmtId="0" fontId="20" fillId="0" borderId="1" xfId="0" applyFont="1" applyBorder="1"/>
    <xf numFmtId="0" fontId="37" fillId="6" borderId="1" xfId="0" applyFont="1" applyFill="1" applyBorder="1" applyAlignment="1">
      <alignment horizontal="center"/>
    </xf>
    <xf numFmtId="164" fontId="35" fillId="2" borderId="1" xfId="0" applyNumberFormat="1" applyFont="1" applyFill="1" applyBorder="1"/>
    <xf numFmtId="0" fontId="20" fillId="0" borderId="1" xfId="0" applyFont="1" applyBorder="1" applyAlignment="1">
      <alignment horizontal="left"/>
    </xf>
    <xf numFmtId="164" fontId="6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164" fontId="22" fillId="0" borderId="1" xfId="0" applyNumberFormat="1" applyFont="1" applyBorder="1" applyAlignment="1">
      <alignment horizontal="right" vertical="center"/>
    </xf>
    <xf numFmtId="164" fontId="23" fillId="0" borderId="1" xfId="0" applyNumberFormat="1" applyFont="1" applyBorder="1" applyAlignment="1">
      <alignment horizontal="right" vertical="center"/>
    </xf>
    <xf numFmtId="164" fontId="5" fillId="6" borderId="1" xfId="0" applyNumberFormat="1" applyFont="1" applyFill="1" applyBorder="1" applyAlignment="1">
      <alignment horizontal="right" vertical="center"/>
    </xf>
    <xf numFmtId="164" fontId="22" fillId="6" borderId="1" xfId="0" applyNumberFormat="1" applyFont="1" applyFill="1" applyBorder="1" applyAlignment="1">
      <alignment horizontal="right" vertical="center"/>
    </xf>
    <xf numFmtId="164" fontId="28" fillId="4" borderId="1" xfId="0" applyNumberFormat="1" applyFont="1" applyFill="1" applyBorder="1" applyAlignment="1">
      <alignment vertical="center"/>
    </xf>
    <xf numFmtId="164" fontId="29" fillId="4" borderId="1" xfId="0" applyNumberFormat="1" applyFont="1" applyFill="1" applyBorder="1" applyAlignment="1">
      <alignment vertical="center"/>
    </xf>
    <xf numFmtId="0" fontId="37" fillId="2" borderId="1" xfId="0" applyFont="1" applyFill="1" applyBorder="1" applyAlignment="1">
      <alignment horizontal="center"/>
    </xf>
    <xf numFmtId="164" fontId="37" fillId="6" borderId="1" xfId="0" applyNumberFormat="1" applyFont="1" applyFill="1" applyBorder="1" applyAlignment="1">
      <alignment horizontal="center"/>
    </xf>
    <xf numFmtId="0" fontId="35" fillId="0" borderId="1" xfId="0" applyFont="1" applyBorder="1" applyAlignment="1">
      <alignment horizontal="left" wrapText="1"/>
    </xf>
    <xf numFmtId="0" fontId="38" fillId="0" borderId="1" xfId="0" applyFont="1" applyBorder="1" applyAlignment="1">
      <alignment horizontal="left"/>
    </xf>
    <xf numFmtId="164" fontId="28" fillId="2" borderId="1" xfId="0" applyNumberFormat="1" applyFont="1" applyFill="1" applyBorder="1" applyAlignment="1">
      <alignment vertical="center"/>
    </xf>
    <xf numFmtId="164" fontId="29" fillId="2" borderId="1" xfId="0" applyNumberFormat="1" applyFont="1" applyFill="1" applyBorder="1" applyAlignment="1">
      <alignment vertical="center"/>
    </xf>
    <xf numFmtId="164" fontId="36" fillId="2" borderId="1" xfId="0" applyNumberFormat="1" applyFont="1" applyFill="1" applyBorder="1"/>
    <xf numFmtId="0" fontId="39" fillId="0" borderId="0" xfId="0" applyFont="1"/>
    <xf numFmtId="164" fontId="40" fillId="0" borderId="0" xfId="0" applyNumberFormat="1" applyFont="1" applyAlignment="1">
      <alignment vertical="center"/>
    </xf>
    <xf numFmtId="164" fontId="35" fillId="0" borderId="1" xfId="0" applyNumberFormat="1" applyFont="1" applyBorder="1"/>
    <xf numFmtId="164" fontId="0" fillId="0" borderId="0" xfId="0" applyNumberFormat="1"/>
    <xf numFmtId="0" fontId="43" fillId="0" borderId="0" xfId="0" applyFont="1"/>
    <xf numFmtId="164" fontId="10" fillId="0" borderId="0" xfId="2" applyNumberFormat="1" applyFont="1" applyFill="1" applyBorder="1"/>
    <xf numFmtId="164" fontId="10" fillId="0" borderId="0" xfId="2" applyNumberFormat="1" applyFont="1" applyFill="1" applyBorder="1" applyAlignment="1">
      <alignment horizontal="right"/>
    </xf>
    <xf numFmtId="164" fontId="30" fillId="0" borderId="0" xfId="0" applyNumberFormat="1" applyFont="1"/>
    <xf numFmtId="0" fontId="10" fillId="0" borderId="0" xfId="0" applyFont="1"/>
    <xf numFmtId="0" fontId="3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45" fillId="7" borderId="0" xfId="0" applyFont="1" applyFill="1" applyAlignment="1">
      <alignment horizontal="left"/>
    </xf>
    <xf numFmtId="164" fontId="10" fillId="7" borderId="0" xfId="0" applyNumberFormat="1" applyFont="1" applyFill="1" applyAlignment="1">
      <alignment horizontal="right"/>
    </xf>
    <xf numFmtId="164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164" fontId="10" fillId="0" borderId="0" xfId="0" applyNumberFormat="1" applyFont="1"/>
    <xf numFmtId="164" fontId="11" fillId="0" borderId="0" xfId="0" applyNumberFormat="1" applyFont="1"/>
    <xf numFmtId="0" fontId="10" fillId="0" borderId="0" xfId="0" applyFont="1" applyAlignment="1">
      <alignment horizontal="left" wrapText="1"/>
    </xf>
    <xf numFmtId="0" fontId="11" fillId="7" borderId="0" xfId="0" applyFont="1" applyFill="1" applyAlignment="1">
      <alignment horizontal="left" wrapText="1"/>
    </xf>
    <xf numFmtId="164" fontId="11" fillId="7" borderId="0" xfId="0" applyNumberFormat="1" applyFont="1" applyFill="1" applyAlignment="1">
      <alignment horizontal="right"/>
    </xf>
    <xf numFmtId="164" fontId="11" fillId="7" borderId="0" xfId="0" applyNumberFormat="1" applyFont="1" applyFill="1"/>
    <xf numFmtId="164" fontId="10" fillId="7" borderId="0" xfId="0" applyNumberFormat="1" applyFont="1" applyFill="1"/>
    <xf numFmtId="0" fontId="11" fillId="0" borderId="0" xfId="0" applyFont="1" applyAlignment="1">
      <alignment horizontal="left" wrapText="1"/>
    </xf>
    <xf numFmtId="0" fontId="44" fillId="0" borderId="0" xfId="0" applyFont="1"/>
    <xf numFmtId="0" fontId="11" fillId="7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49" fontId="43" fillId="0" borderId="0" xfId="0" applyNumberFormat="1" applyFont="1"/>
    <xf numFmtId="0" fontId="7" fillId="7" borderId="0" xfId="0" applyFont="1" applyFill="1" applyAlignment="1">
      <alignment horizontal="left"/>
    </xf>
    <xf numFmtId="164" fontId="6" fillId="7" borderId="0" xfId="0" applyNumberFormat="1" applyFont="1" applyFill="1"/>
    <xf numFmtId="0" fontId="8" fillId="0" borderId="0" xfId="0" applyFont="1" applyAlignment="1">
      <alignment horizontal="left" wrapText="1"/>
    </xf>
    <xf numFmtId="164" fontId="6" fillId="0" borderId="0" xfId="0" applyNumberFormat="1" applyFont="1"/>
    <xf numFmtId="164" fontId="43" fillId="0" borderId="0" xfId="0" applyNumberFormat="1" applyFont="1"/>
    <xf numFmtId="0" fontId="7" fillId="0" borderId="0" xfId="0" applyFont="1" applyAlignment="1">
      <alignment horizontal="left" wrapText="1"/>
    </xf>
    <xf numFmtId="0" fontId="1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 wrapText="1"/>
    </xf>
    <xf numFmtId="0" fontId="36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right"/>
    </xf>
    <xf numFmtId="164" fontId="6" fillId="0" borderId="0" xfId="2" applyNumberFormat="1" applyFont="1" applyFill="1" applyBorder="1"/>
    <xf numFmtId="0" fontId="31" fillId="0" borderId="0" xfId="0" applyFont="1" applyAlignment="1">
      <alignment horizontal="left" wrapText="1"/>
    </xf>
    <xf numFmtId="0" fontId="32" fillId="0" borderId="0" xfId="0" applyFont="1"/>
    <xf numFmtId="0" fontId="20" fillId="0" borderId="0" xfId="0" applyFont="1"/>
    <xf numFmtId="0" fontId="33" fillId="0" borderId="0" xfId="0" applyFont="1" applyAlignment="1">
      <alignment horizontal="left" wrapText="1"/>
    </xf>
    <xf numFmtId="0" fontId="11" fillId="0" borderId="0" xfId="1" applyFont="1" applyAlignment="1">
      <alignment horizontal="left" wrapText="1"/>
    </xf>
    <xf numFmtId="164" fontId="41" fillId="0" borderId="0" xfId="0" applyNumberFormat="1" applyFont="1"/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4" fontId="0" fillId="0" borderId="0" xfId="0" applyNumberFormat="1"/>
    <xf numFmtId="164" fontId="42" fillId="0" borderId="0" xfId="0" applyNumberFormat="1" applyFont="1"/>
    <xf numFmtId="0" fontId="14" fillId="0" borderId="0" xfId="0" applyFont="1" applyAlignment="1">
      <alignment horizontal="left"/>
    </xf>
    <xf numFmtId="0" fontId="37" fillId="2" borderId="1" xfId="0" applyFont="1" applyFill="1" applyBorder="1" applyAlignment="1">
      <alignment horizontal="left"/>
    </xf>
    <xf numFmtId="164" fontId="9" fillId="0" borderId="0" xfId="0" applyNumberFormat="1" applyFont="1"/>
    <xf numFmtId="0" fontId="31" fillId="2" borderId="1" xfId="0" applyFont="1" applyFill="1" applyBorder="1" applyAlignment="1">
      <alignment horizontal="left" wrapText="1"/>
    </xf>
    <xf numFmtId="0" fontId="37" fillId="2" borderId="1" xfId="0" applyFont="1" applyFill="1" applyBorder="1" applyAlignment="1">
      <alignment horizontal="left"/>
    </xf>
    <xf numFmtId="164" fontId="4" fillId="8" borderId="0" xfId="0" applyNumberFormat="1" applyFont="1" applyFill="1" applyAlignment="1">
      <alignment horizontal="right"/>
    </xf>
    <xf numFmtId="164" fontId="2" fillId="8" borderId="0" xfId="0" applyNumberFormat="1" applyFont="1" applyFill="1" applyAlignment="1">
      <alignment horizontal="right"/>
    </xf>
    <xf numFmtId="0" fontId="8" fillId="8" borderId="0" xfId="0" applyFont="1" applyFill="1" applyAlignment="1">
      <alignment horizontal="left"/>
    </xf>
    <xf numFmtId="164" fontId="6" fillId="8" borderId="0" xfId="0" applyNumberFormat="1" applyFont="1" applyFill="1"/>
    <xf numFmtId="164" fontId="11" fillId="8" borderId="0" xfId="0" applyNumberFormat="1" applyFont="1" applyFill="1"/>
    <xf numFmtId="0" fontId="8" fillId="8" borderId="0" xfId="0" applyFont="1" applyFill="1" applyAlignment="1">
      <alignment horizontal="left" wrapText="1"/>
    </xf>
    <xf numFmtId="0" fontId="7" fillId="8" borderId="0" xfId="0" applyFont="1" applyFill="1" applyAlignment="1">
      <alignment horizontal="left" wrapText="1"/>
    </xf>
    <xf numFmtId="164" fontId="11" fillId="8" borderId="0" xfId="0" applyNumberFormat="1" applyFont="1" applyFill="1" applyAlignment="1">
      <alignment horizontal="right"/>
    </xf>
    <xf numFmtId="164" fontId="46" fillId="8" borderId="0" xfId="0" applyNumberFormat="1" applyFont="1" applyFill="1"/>
    <xf numFmtId="164" fontId="6" fillId="8" borderId="0" xfId="0" applyNumberFormat="1" applyFont="1" applyFill="1" applyAlignment="1">
      <alignment horizontal="right"/>
    </xf>
    <xf numFmtId="0" fontId="0" fillId="8" borderId="0" xfId="0" applyFill="1"/>
    <xf numFmtId="164" fontId="9" fillId="8" borderId="0" xfId="0" applyNumberFormat="1" applyFont="1" applyFill="1"/>
    <xf numFmtId="0" fontId="14" fillId="8" borderId="0" xfId="0" applyFont="1" applyFill="1" applyAlignment="1">
      <alignment horizontal="left"/>
    </xf>
    <xf numFmtId="0" fontId="14" fillId="8" borderId="0" xfId="0" applyFont="1" applyFill="1" applyAlignment="1">
      <alignment horizontal="left" wrapText="1"/>
    </xf>
    <xf numFmtId="49" fontId="16" fillId="0" borderId="0" xfId="0" applyNumberFormat="1" applyFont="1"/>
    <xf numFmtId="0" fontId="47" fillId="0" borderId="0" xfId="0" applyFont="1" applyAlignment="1">
      <alignment horizontal="left" wrapText="1"/>
    </xf>
    <xf numFmtId="0" fontId="48" fillId="0" borderId="0" xfId="0" applyFont="1" applyAlignment="1">
      <alignment horizontal="left"/>
    </xf>
    <xf numFmtId="0" fontId="48" fillId="0" borderId="0" xfId="0" applyFont="1" applyAlignment="1">
      <alignment horizontal="left" wrapText="1"/>
    </xf>
    <xf numFmtId="0" fontId="3" fillId="9" borderId="0" xfId="0" applyFont="1" applyFill="1" applyAlignment="1">
      <alignment horizontal="center"/>
    </xf>
    <xf numFmtId="164" fontId="4" fillId="9" borderId="0" xfId="0" applyNumberFormat="1" applyFont="1" applyFill="1" applyAlignment="1">
      <alignment horizontal="right"/>
    </xf>
    <xf numFmtId="164" fontId="6" fillId="9" borderId="0" xfId="0" applyNumberFormat="1" applyFont="1" applyFill="1"/>
    <xf numFmtId="164" fontId="11" fillId="9" borderId="0" xfId="0" applyNumberFormat="1" applyFont="1" applyFill="1" applyAlignment="1">
      <alignment horizontal="right"/>
    </xf>
    <xf numFmtId="164" fontId="11" fillId="9" borderId="0" xfId="0" applyNumberFormat="1" applyFont="1" applyFill="1"/>
    <xf numFmtId="0" fontId="0" fillId="9" borderId="0" xfId="0" applyFill="1"/>
    <xf numFmtId="164" fontId="10" fillId="9" borderId="0" xfId="0" applyNumberFormat="1" applyFont="1" applyFill="1"/>
    <xf numFmtId="164" fontId="6" fillId="9" borderId="0" xfId="2" applyNumberFormat="1" applyFont="1" applyFill="1" applyBorder="1"/>
    <xf numFmtId="164" fontId="42" fillId="9" borderId="0" xfId="0" applyNumberFormat="1" applyFont="1" applyFill="1"/>
    <xf numFmtId="164" fontId="0" fillId="9" borderId="0" xfId="0" applyNumberFormat="1" applyFill="1"/>
    <xf numFmtId="0" fontId="7" fillId="8" borderId="0" xfId="0" applyFont="1" applyFill="1" applyAlignment="1">
      <alignment horizontal="left"/>
    </xf>
    <xf numFmtId="164" fontId="6" fillId="8" borderId="0" xfId="2" applyNumberFormat="1" applyFont="1" applyFill="1" applyBorder="1"/>
    <xf numFmtId="164" fontId="6" fillId="8" borderId="0" xfId="2" applyNumberFormat="1" applyFont="1" applyFill="1" applyBorder="1" applyAlignment="1">
      <alignment horizontal="right"/>
    </xf>
    <xf numFmtId="0" fontId="10" fillId="8" borderId="0" xfId="0" applyFont="1" applyFill="1" applyAlignment="1">
      <alignment horizontal="left" wrapText="1"/>
    </xf>
    <xf numFmtId="0" fontId="11" fillId="8" borderId="0" xfId="0" applyFont="1" applyFill="1" applyAlignment="1">
      <alignment horizontal="left" wrapText="1"/>
    </xf>
    <xf numFmtId="49" fontId="16" fillId="8" borderId="0" xfId="0" applyNumberFormat="1" applyFont="1" applyFill="1"/>
    <xf numFmtId="164" fontId="10" fillId="8" borderId="0" xfId="0" applyNumberFormat="1" applyFont="1" applyFill="1"/>
    <xf numFmtId="164" fontId="42" fillId="8" borderId="0" xfId="0" applyNumberFormat="1" applyFont="1" applyFill="1" applyAlignment="1">
      <alignment horizontal="right"/>
    </xf>
  </cellXfs>
  <cellStyles count="3">
    <cellStyle name="Moeda" xfId="2" builtinId="4"/>
    <cellStyle name="Normal" xfId="0" builtinId="0"/>
    <cellStyle name="Normal 2" xfId="1" xr:uid="{840D84C3-44C0-3948-ACE6-BCC166B5BD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073B-365F-DA4B-A9F8-BBC19E0DEDCB}">
  <dimension ref="A1:O52"/>
  <sheetViews>
    <sheetView zoomScaleNormal="100" workbookViewId="0">
      <pane xSplit="1" topLeftCell="H1" activePane="topRight" state="frozen"/>
      <selection pane="topRight" activeCell="O24" sqref="O24"/>
    </sheetView>
  </sheetViews>
  <sheetFormatPr baseColWidth="10" defaultColWidth="11" defaultRowHeight="16"/>
  <cols>
    <col min="1" max="1" width="48.6640625" bestFit="1" customWidth="1"/>
    <col min="2" max="4" width="19" bestFit="1" customWidth="1"/>
    <col min="5" max="5" width="21.33203125" bestFit="1" customWidth="1"/>
    <col min="6" max="13" width="19" bestFit="1" customWidth="1"/>
    <col min="14" max="14" width="21.33203125" bestFit="1" customWidth="1"/>
    <col min="15" max="15" width="15.5" bestFit="1" customWidth="1"/>
  </cols>
  <sheetData>
    <row r="1" spans="1:15" ht="20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1" t="s">
        <v>13</v>
      </c>
    </row>
    <row r="2" spans="1:15" ht="19">
      <c r="A2" s="12" t="s">
        <v>14</v>
      </c>
      <c r="B2" s="24">
        <v>155797.48000000001</v>
      </c>
      <c r="C2" s="24">
        <v>150016.51</v>
      </c>
      <c r="D2" s="24">
        <v>171708.01</v>
      </c>
      <c r="E2" s="24">
        <v>148577.43</v>
      </c>
      <c r="F2" s="24">
        <v>149549.32999999999</v>
      </c>
      <c r="G2" s="24">
        <v>250268.46</v>
      </c>
      <c r="H2" s="25">
        <v>165846.70000000001</v>
      </c>
      <c r="I2" s="24">
        <v>215527.5</v>
      </c>
      <c r="J2" s="24">
        <v>136829.12</v>
      </c>
      <c r="K2" s="24">
        <v>215729.74</v>
      </c>
      <c r="L2" s="24">
        <v>234499.37</v>
      </c>
      <c r="M2" s="24">
        <v>275977.84000000003</v>
      </c>
      <c r="N2" s="39">
        <f>SUM(B2:M2)</f>
        <v>2270327.4899999998</v>
      </c>
    </row>
    <row r="3" spans="1:15" ht="19">
      <c r="A3" s="12" t="s">
        <v>15</v>
      </c>
      <c r="B3" s="24">
        <v>1280</v>
      </c>
      <c r="C3" s="24">
        <v>1206.5</v>
      </c>
      <c r="D3" s="24">
        <v>3037.5</v>
      </c>
      <c r="E3" s="24">
        <v>1572.2</v>
      </c>
      <c r="F3" s="24">
        <v>562</v>
      </c>
      <c r="G3" s="24">
        <v>3806.85</v>
      </c>
      <c r="H3" s="25">
        <v>1050</v>
      </c>
      <c r="I3" s="24">
        <v>2162</v>
      </c>
      <c r="J3" s="24">
        <v>4775</v>
      </c>
      <c r="K3" s="24">
        <v>1162.8499999999999</v>
      </c>
      <c r="L3" s="24">
        <v>1775</v>
      </c>
      <c r="M3" s="24">
        <v>1343.5</v>
      </c>
      <c r="N3" s="39">
        <f t="shared" ref="N3:N50" si="0">SUM(B3:M3)</f>
        <v>23733.399999999998</v>
      </c>
    </row>
    <row r="4" spans="1:15" ht="19">
      <c r="A4" s="13" t="s">
        <v>16</v>
      </c>
      <c r="B4" s="26">
        <v>157077.48000000001</v>
      </c>
      <c r="C4" s="26">
        <v>151223.01</v>
      </c>
      <c r="D4" s="26">
        <v>174745.51</v>
      </c>
      <c r="E4" s="26">
        <v>150149.63</v>
      </c>
      <c r="F4" s="26">
        <v>150111.32999999999</v>
      </c>
      <c r="G4" s="26">
        <v>254075.31</v>
      </c>
      <c r="H4" s="27">
        <v>166896.70000000001</v>
      </c>
      <c r="I4" s="26">
        <v>217689.5</v>
      </c>
      <c r="J4" s="26">
        <v>141604.12</v>
      </c>
      <c r="K4" s="26">
        <v>216892.59</v>
      </c>
      <c r="L4" s="26">
        <v>236274.37</v>
      </c>
      <c r="M4" s="26">
        <v>277321.34000000003</v>
      </c>
      <c r="N4" s="39">
        <f t="shared" si="0"/>
        <v>2294060.8899999997</v>
      </c>
    </row>
    <row r="5" spans="1:15" ht="19">
      <c r="A5" s="14"/>
      <c r="B5" s="28"/>
      <c r="C5" s="28"/>
      <c r="D5" s="28"/>
      <c r="E5" s="29"/>
      <c r="F5" s="29"/>
      <c r="G5" s="29"/>
      <c r="H5" s="30"/>
      <c r="I5" s="29"/>
      <c r="J5" s="29"/>
      <c r="K5" s="29"/>
      <c r="L5" s="29"/>
      <c r="M5" s="29"/>
      <c r="N5" s="39"/>
    </row>
    <row r="6" spans="1:15" ht="19">
      <c r="A6" s="15" t="s">
        <v>17</v>
      </c>
      <c r="B6" s="31"/>
      <c r="C6" s="31"/>
      <c r="D6" s="31"/>
      <c r="E6" s="32"/>
      <c r="F6" s="32"/>
      <c r="G6" s="32"/>
      <c r="H6" s="33"/>
      <c r="I6" s="32"/>
      <c r="J6" s="32"/>
      <c r="K6" s="32"/>
      <c r="L6" s="32"/>
      <c r="M6" s="32"/>
      <c r="N6" s="39"/>
    </row>
    <row r="7" spans="1:15" ht="19">
      <c r="A7" s="16" t="s">
        <v>14</v>
      </c>
      <c r="B7" s="34">
        <v>0</v>
      </c>
      <c r="C7" s="34">
        <v>0</v>
      </c>
      <c r="D7" s="34">
        <v>0</v>
      </c>
      <c r="E7" s="24">
        <v>3161.8</v>
      </c>
      <c r="F7" s="34">
        <v>4990</v>
      </c>
      <c r="G7" s="24">
        <v>5662.7</v>
      </c>
      <c r="H7" s="25">
        <v>5180</v>
      </c>
      <c r="I7" s="24">
        <v>4380</v>
      </c>
      <c r="J7" s="24">
        <v>5230</v>
      </c>
      <c r="K7" s="24">
        <v>5080</v>
      </c>
      <c r="L7" s="24">
        <v>5630</v>
      </c>
      <c r="M7" s="24">
        <v>5490</v>
      </c>
      <c r="N7" s="39">
        <f t="shared" si="0"/>
        <v>44804.5</v>
      </c>
      <c r="O7" s="67">
        <f>SUM(N7+N2)</f>
        <v>2315131.9899999998</v>
      </c>
    </row>
    <row r="8" spans="1:15" ht="19">
      <c r="A8" s="16" t="s">
        <v>15</v>
      </c>
      <c r="B8" s="34">
        <v>0</v>
      </c>
      <c r="C8" s="34">
        <v>0</v>
      </c>
      <c r="D8" s="34">
        <v>132</v>
      </c>
      <c r="E8" s="24">
        <v>482</v>
      </c>
      <c r="F8" s="34">
        <v>320</v>
      </c>
      <c r="G8" s="24">
        <v>392</v>
      </c>
      <c r="H8" s="25">
        <v>0</v>
      </c>
      <c r="I8" s="24">
        <v>430</v>
      </c>
      <c r="J8" s="24">
        <v>584</v>
      </c>
      <c r="K8" s="24">
        <v>75</v>
      </c>
      <c r="L8" s="24">
        <v>176</v>
      </c>
      <c r="M8" s="24">
        <v>40</v>
      </c>
      <c r="N8" s="39">
        <f t="shared" si="0"/>
        <v>2631</v>
      </c>
      <c r="O8" s="67">
        <f>SUM(N8+N3)</f>
        <v>26364.399999999998</v>
      </c>
    </row>
    <row r="9" spans="1:15" ht="19">
      <c r="A9" s="17" t="s">
        <v>18</v>
      </c>
      <c r="B9" s="26">
        <v>0</v>
      </c>
      <c r="C9" s="26">
        <v>0</v>
      </c>
      <c r="D9" s="26">
        <v>132</v>
      </c>
      <c r="E9" s="26">
        <v>3643.8</v>
      </c>
      <c r="F9" s="26">
        <v>5310</v>
      </c>
      <c r="G9" s="26">
        <v>6054.7</v>
      </c>
      <c r="H9" s="27">
        <v>5180</v>
      </c>
      <c r="I9" s="26">
        <v>4810</v>
      </c>
      <c r="J9" s="26">
        <v>5814</v>
      </c>
      <c r="K9" s="26">
        <v>5155</v>
      </c>
      <c r="L9" s="26">
        <v>5806</v>
      </c>
      <c r="M9" s="26">
        <v>5530</v>
      </c>
      <c r="N9" s="39">
        <f t="shared" si="0"/>
        <v>47435.5</v>
      </c>
    </row>
    <row r="10" spans="1:15" ht="19">
      <c r="A10" s="13" t="s">
        <v>19</v>
      </c>
      <c r="B10" s="35">
        <v>157077.48000000001</v>
      </c>
      <c r="C10" s="35">
        <v>151223.01</v>
      </c>
      <c r="D10" s="35">
        <v>174877.51</v>
      </c>
      <c r="E10" s="35">
        <v>153793.43</v>
      </c>
      <c r="F10" s="35">
        <f>SUM(F4+F9)</f>
        <v>155421.32999999999</v>
      </c>
      <c r="G10" s="35">
        <f t="shared" ref="G10:M10" si="1">SUM(G4+G9)</f>
        <v>260130.01</v>
      </c>
      <c r="H10" s="35">
        <f t="shared" si="1"/>
        <v>172076.7</v>
      </c>
      <c r="I10" s="35">
        <f t="shared" si="1"/>
        <v>222499.5</v>
      </c>
      <c r="J10" s="35">
        <f t="shared" si="1"/>
        <v>147418.12</v>
      </c>
      <c r="K10" s="35">
        <f t="shared" si="1"/>
        <v>222047.59</v>
      </c>
      <c r="L10" s="35">
        <f t="shared" si="1"/>
        <v>242080.37</v>
      </c>
      <c r="M10" s="35">
        <f t="shared" si="1"/>
        <v>282851.34000000003</v>
      </c>
      <c r="N10" s="39">
        <f t="shared" si="0"/>
        <v>2341496.3899999997</v>
      </c>
    </row>
    <row r="11" spans="1:15" ht="20">
      <c r="A11" s="8" t="s">
        <v>20</v>
      </c>
      <c r="B11" s="26"/>
      <c r="C11" s="26"/>
      <c r="D11" s="26"/>
      <c r="E11" s="26"/>
      <c r="F11" s="26"/>
      <c r="G11" s="26"/>
      <c r="H11" s="27"/>
      <c r="I11" s="26"/>
      <c r="J11" s="26"/>
      <c r="K11" s="26"/>
      <c r="L11" s="26"/>
      <c r="M11" s="26"/>
      <c r="N11" s="39"/>
    </row>
    <row r="12" spans="1:15" ht="20">
      <c r="A12" s="18" t="s">
        <v>21</v>
      </c>
      <c r="B12" s="24">
        <v>181.93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25"/>
      <c r="I12" s="24"/>
      <c r="J12" s="24"/>
      <c r="K12" s="24">
        <v>176.34</v>
      </c>
      <c r="L12" s="24"/>
      <c r="M12" s="24">
        <v>354</v>
      </c>
      <c r="N12" s="39">
        <f t="shared" si="0"/>
        <v>712.27</v>
      </c>
    </row>
    <row r="13" spans="1:15" ht="20">
      <c r="A13" s="19" t="s">
        <v>22</v>
      </c>
      <c r="B13" s="24"/>
      <c r="C13" s="24"/>
      <c r="D13" s="24"/>
      <c r="E13" s="24"/>
      <c r="F13" s="24"/>
      <c r="G13" s="24"/>
      <c r="H13" s="25"/>
      <c r="I13" s="24"/>
      <c r="J13" s="24"/>
      <c r="K13" s="24"/>
      <c r="L13" s="24"/>
      <c r="M13" s="24"/>
      <c r="N13" s="39"/>
    </row>
    <row r="14" spans="1:15" ht="20">
      <c r="A14" s="18" t="s">
        <v>23</v>
      </c>
      <c r="B14" s="24">
        <v>0</v>
      </c>
      <c r="C14" s="24">
        <v>7509.4</v>
      </c>
      <c r="D14" s="24">
        <v>0</v>
      </c>
      <c r="E14" s="24">
        <v>0</v>
      </c>
      <c r="F14" s="24">
        <v>0</v>
      </c>
      <c r="G14" s="24">
        <v>0</v>
      </c>
      <c r="H14" s="25"/>
      <c r="I14" s="24"/>
      <c r="J14" s="24"/>
      <c r="K14" s="24">
        <v>3491.4</v>
      </c>
      <c r="L14" s="24"/>
      <c r="M14" s="24"/>
      <c r="N14" s="39">
        <f t="shared" si="0"/>
        <v>11000.8</v>
      </c>
    </row>
    <row r="15" spans="1:15" ht="20">
      <c r="A15" s="18" t="s">
        <v>24</v>
      </c>
      <c r="B15" s="24">
        <v>0</v>
      </c>
      <c r="C15" s="24">
        <v>0</v>
      </c>
      <c r="D15" s="24">
        <v>0</v>
      </c>
      <c r="E15" s="24">
        <v>1973.4</v>
      </c>
      <c r="F15" s="24">
        <v>0</v>
      </c>
      <c r="G15" s="24">
        <v>0</v>
      </c>
      <c r="H15" s="25"/>
      <c r="I15" s="24"/>
      <c r="J15" s="24"/>
      <c r="K15" s="24"/>
      <c r="L15" s="24"/>
      <c r="M15" s="24"/>
      <c r="N15" s="39">
        <f t="shared" si="0"/>
        <v>1973.4</v>
      </c>
    </row>
    <row r="16" spans="1:15" ht="20">
      <c r="A16" s="18" t="s">
        <v>25</v>
      </c>
      <c r="B16" s="24">
        <v>0</v>
      </c>
      <c r="C16" s="24">
        <v>0</v>
      </c>
      <c r="D16" s="24">
        <v>0</v>
      </c>
      <c r="E16" s="24">
        <v>10018.799999999999</v>
      </c>
      <c r="F16" s="24">
        <v>0</v>
      </c>
      <c r="G16" s="24">
        <v>0</v>
      </c>
      <c r="H16" s="25"/>
      <c r="I16" s="24"/>
      <c r="J16" s="24"/>
      <c r="K16" s="24"/>
      <c r="L16" s="24"/>
      <c r="M16" s="24"/>
      <c r="N16" s="39">
        <f t="shared" si="0"/>
        <v>10018.799999999999</v>
      </c>
    </row>
    <row r="17" spans="1:15" ht="20">
      <c r="A17" s="18" t="s">
        <v>26</v>
      </c>
      <c r="B17" s="24">
        <v>0</v>
      </c>
      <c r="C17" s="24">
        <v>0</v>
      </c>
      <c r="D17" s="24">
        <v>0</v>
      </c>
      <c r="E17" s="24">
        <v>2509.4</v>
      </c>
      <c r="F17" s="24">
        <v>0</v>
      </c>
      <c r="G17" s="24">
        <v>0</v>
      </c>
      <c r="H17" s="25"/>
      <c r="I17" s="24"/>
      <c r="J17" s="24"/>
      <c r="K17" s="24"/>
      <c r="L17" s="24"/>
      <c r="M17" s="24"/>
      <c r="N17" s="39">
        <f t="shared" si="0"/>
        <v>2509.4</v>
      </c>
    </row>
    <row r="18" spans="1:15" ht="20">
      <c r="A18" s="18" t="s">
        <v>27</v>
      </c>
      <c r="B18" s="24">
        <v>0</v>
      </c>
      <c r="C18" s="24">
        <v>0</v>
      </c>
      <c r="D18" s="24">
        <v>0</v>
      </c>
      <c r="E18" s="24">
        <v>0</v>
      </c>
      <c r="F18" s="24">
        <v>0</v>
      </c>
      <c r="G18" s="24">
        <v>5009.3999999999996</v>
      </c>
      <c r="H18" s="25"/>
      <c r="I18" s="24"/>
      <c r="J18" s="24"/>
      <c r="K18" s="24"/>
      <c r="L18" s="24"/>
      <c r="M18" s="24"/>
      <c r="N18" s="39">
        <f t="shared" si="0"/>
        <v>5009.3999999999996</v>
      </c>
    </row>
    <row r="19" spans="1:15" ht="20">
      <c r="A19" s="19" t="s">
        <v>28</v>
      </c>
      <c r="B19" s="24">
        <v>836.22</v>
      </c>
      <c r="C19" s="24">
        <v>805.05</v>
      </c>
      <c r="D19" s="24">
        <v>916.88</v>
      </c>
      <c r="E19" s="24">
        <v>881.74</v>
      </c>
      <c r="F19" s="24">
        <v>895.62</v>
      </c>
      <c r="G19" s="24">
        <v>922.82</v>
      </c>
      <c r="H19" s="25">
        <v>866.2</v>
      </c>
      <c r="I19" s="41">
        <v>865.29</v>
      </c>
      <c r="J19" s="24">
        <v>865.29</v>
      </c>
      <c r="K19" s="24">
        <v>889.18</v>
      </c>
      <c r="L19" s="24">
        <v>861.78</v>
      </c>
      <c r="M19" s="24">
        <v>911.02</v>
      </c>
      <c r="N19" s="39">
        <f t="shared" si="0"/>
        <v>10517.09</v>
      </c>
    </row>
    <row r="20" spans="1:15" ht="40">
      <c r="A20" s="19" t="s">
        <v>29</v>
      </c>
      <c r="B20" s="24">
        <v>0</v>
      </c>
      <c r="C20" s="24">
        <v>0</v>
      </c>
      <c r="D20" s="24">
        <v>0</v>
      </c>
      <c r="E20" s="24">
        <v>0</v>
      </c>
      <c r="F20" s="24">
        <v>946.79</v>
      </c>
      <c r="G20" s="24">
        <v>1017.78</v>
      </c>
      <c r="H20" s="25"/>
      <c r="I20" s="24"/>
      <c r="J20" s="24">
        <v>1950</v>
      </c>
      <c r="K20" s="24">
        <v>1313</v>
      </c>
      <c r="L20" s="24"/>
      <c r="M20" s="24"/>
      <c r="N20" s="39">
        <f t="shared" si="0"/>
        <v>5227.57</v>
      </c>
    </row>
    <row r="21" spans="1:15" ht="20" customHeight="1">
      <c r="A21" s="19" t="s">
        <v>30</v>
      </c>
      <c r="B21" s="24">
        <v>0</v>
      </c>
      <c r="C21" s="24">
        <v>0</v>
      </c>
      <c r="D21" s="24">
        <v>0</v>
      </c>
      <c r="E21" s="24">
        <v>836.22</v>
      </c>
      <c r="F21" s="24">
        <v>0</v>
      </c>
      <c r="G21" s="24">
        <v>0</v>
      </c>
      <c r="H21" s="25"/>
      <c r="I21" s="24"/>
      <c r="J21" s="24"/>
      <c r="K21" s="24"/>
      <c r="L21" s="24"/>
      <c r="M21" s="24"/>
      <c r="N21" s="39">
        <f t="shared" si="0"/>
        <v>836.22</v>
      </c>
    </row>
    <row r="22" spans="1:15" ht="20">
      <c r="A22" s="19" t="s">
        <v>31</v>
      </c>
      <c r="B22" s="24">
        <v>0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5"/>
      <c r="I22" s="24"/>
      <c r="J22" s="24"/>
      <c r="K22" s="24">
        <v>283</v>
      </c>
      <c r="L22" s="24"/>
      <c r="M22" s="24">
        <v>5561.19</v>
      </c>
      <c r="N22" s="39">
        <f t="shared" si="0"/>
        <v>5844.19</v>
      </c>
    </row>
    <row r="23" spans="1:15" ht="20">
      <c r="A23" s="19" t="s">
        <v>32</v>
      </c>
      <c r="B23" s="24">
        <v>205</v>
      </c>
      <c r="C23" s="24">
        <v>40</v>
      </c>
      <c r="D23" s="24">
        <v>60</v>
      </c>
      <c r="E23" s="24">
        <v>20</v>
      </c>
      <c r="F23" s="24">
        <v>5</v>
      </c>
      <c r="G23" s="24">
        <v>0</v>
      </c>
      <c r="H23" s="25"/>
      <c r="I23" s="24"/>
      <c r="J23" s="24"/>
      <c r="K23" s="24"/>
      <c r="L23" s="24"/>
      <c r="M23" s="24"/>
      <c r="N23" s="39">
        <f t="shared" si="0"/>
        <v>330</v>
      </c>
    </row>
    <row r="24" spans="1:15" ht="20">
      <c r="A24" s="19" t="s">
        <v>33</v>
      </c>
      <c r="B24" s="24"/>
      <c r="C24" s="24"/>
      <c r="D24" s="24"/>
      <c r="E24" s="24"/>
      <c r="F24" s="24"/>
      <c r="G24" s="24"/>
      <c r="H24" s="25"/>
      <c r="I24" s="24"/>
      <c r="J24" s="24"/>
      <c r="K24" s="24"/>
      <c r="L24" s="24"/>
      <c r="M24" s="24"/>
      <c r="N24" s="39">
        <f t="shared" si="0"/>
        <v>0</v>
      </c>
    </row>
    <row r="25" spans="1:15" ht="20">
      <c r="A25" s="18" t="s">
        <v>34</v>
      </c>
      <c r="B25" s="24">
        <v>0</v>
      </c>
      <c r="C25" s="24">
        <v>0</v>
      </c>
      <c r="D25" s="24">
        <v>0</v>
      </c>
      <c r="E25" s="24">
        <v>0</v>
      </c>
      <c r="F25" s="24">
        <v>0</v>
      </c>
      <c r="G25" s="24">
        <v>414</v>
      </c>
      <c r="H25" s="25">
        <v>122</v>
      </c>
      <c r="I25" s="24"/>
      <c r="J25" s="24"/>
      <c r="K25" s="24"/>
      <c r="L25" s="24"/>
      <c r="M25" s="24"/>
      <c r="N25" s="39">
        <f t="shared" si="0"/>
        <v>536</v>
      </c>
    </row>
    <row r="26" spans="1:15" ht="20">
      <c r="A26" s="19" t="s">
        <v>35</v>
      </c>
      <c r="B26" s="24">
        <v>2284.6</v>
      </c>
      <c r="C26" s="24">
        <v>2162.5</v>
      </c>
      <c r="D26" s="24">
        <v>2562.5</v>
      </c>
      <c r="E26" s="24">
        <v>3334</v>
      </c>
      <c r="F26" s="24">
        <v>3132</v>
      </c>
      <c r="G26" s="24">
        <v>4742</v>
      </c>
      <c r="H26" s="25">
        <v>2589.25</v>
      </c>
      <c r="I26" s="24">
        <v>2993</v>
      </c>
      <c r="J26" s="24">
        <v>3010</v>
      </c>
      <c r="K26" s="24">
        <v>2343.5</v>
      </c>
      <c r="L26" s="24">
        <v>2634.75</v>
      </c>
      <c r="M26" s="24">
        <v>6246.4</v>
      </c>
      <c r="N26" s="39">
        <f t="shared" si="0"/>
        <v>38034.5</v>
      </c>
      <c r="O26" s="67"/>
    </row>
    <row r="27" spans="1:15" ht="20">
      <c r="A27" s="19" t="s">
        <v>36</v>
      </c>
      <c r="B27" s="24">
        <v>1307</v>
      </c>
      <c r="C27" s="24">
        <v>2901</v>
      </c>
      <c r="D27" s="24">
        <v>5092</v>
      </c>
      <c r="E27" s="24">
        <v>1005280</v>
      </c>
      <c r="F27" s="24">
        <v>2634</v>
      </c>
      <c r="G27" s="24">
        <v>5253.5</v>
      </c>
      <c r="H27" s="25">
        <v>2811</v>
      </c>
      <c r="I27" s="24">
        <v>13218</v>
      </c>
      <c r="J27" s="24">
        <v>5832</v>
      </c>
      <c r="K27" s="24">
        <v>9591.02</v>
      </c>
      <c r="L27" s="24">
        <v>10445.1</v>
      </c>
      <c r="M27" s="24">
        <v>79820.31</v>
      </c>
      <c r="N27" s="39">
        <f>SUM(B27:M27)</f>
        <v>1144184.9300000002</v>
      </c>
      <c r="O27" s="67">
        <f>SUM(N27+N47+N26+N46)</f>
        <v>1184778.1800000002</v>
      </c>
    </row>
    <row r="28" spans="1:15" ht="20">
      <c r="A28" s="19" t="s">
        <v>37</v>
      </c>
      <c r="B28" s="24">
        <v>19827.599999999999</v>
      </c>
      <c r="C28" s="24">
        <v>20209</v>
      </c>
      <c r="D28" s="24">
        <v>15547.95</v>
      </c>
      <c r="E28" s="24">
        <v>14707</v>
      </c>
      <c r="F28" s="24">
        <v>19206.5</v>
      </c>
      <c r="G28" s="24">
        <v>16407</v>
      </c>
      <c r="H28" s="25">
        <v>15249.8</v>
      </c>
      <c r="I28" s="24">
        <v>22560.5</v>
      </c>
      <c r="J28" s="24">
        <v>15223</v>
      </c>
      <c r="K28" s="24">
        <v>19022</v>
      </c>
      <c r="L28" s="24">
        <v>17404</v>
      </c>
      <c r="M28" s="24">
        <v>23024.09</v>
      </c>
      <c r="N28" s="39">
        <f t="shared" si="0"/>
        <v>218388.44</v>
      </c>
      <c r="O28" s="67">
        <f>SUM(N28+N48)</f>
        <v>219594.44</v>
      </c>
    </row>
    <row r="29" spans="1:15" ht="20">
      <c r="A29" s="19" t="s">
        <v>38</v>
      </c>
      <c r="B29" s="24"/>
      <c r="C29" s="24"/>
      <c r="D29" s="24"/>
      <c r="E29" s="24"/>
      <c r="F29" s="24"/>
      <c r="G29" s="24"/>
      <c r="H29" s="25"/>
      <c r="I29" s="24"/>
      <c r="J29" s="24"/>
      <c r="K29" s="24"/>
      <c r="L29" s="24"/>
      <c r="M29" s="24"/>
      <c r="N29" s="39"/>
    </row>
    <row r="30" spans="1:15" ht="20">
      <c r="A30" s="18" t="s">
        <v>39</v>
      </c>
      <c r="B30" s="24">
        <v>0</v>
      </c>
      <c r="C30" s="24">
        <v>0</v>
      </c>
      <c r="D30" s="24">
        <v>0</v>
      </c>
      <c r="E30" s="24">
        <v>7000</v>
      </c>
      <c r="F30" s="24">
        <v>0</v>
      </c>
      <c r="G30" s="24">
        <v>0</v>
      </c>
      <c r="H30" s="25"/>
      <c r="I30" s="24"/>
      <c r="J30" s="24"/>
      <c r="K30" s="24"/>
      <c r="L30" s="24"/>
      <c r="M30" s="24"/>
      <c r="N30" s="39">
        <f t="shared" si="0"/>
        <v>7000</v>
      </c>
    </row>
    <row r="31" spans="1:15" ht="20">
      <c r="A31" s="18" t="s">
        <v>40</v>
      </c>
      <c r="B31" s="24"/>
      <c r="C31" s="24"/>
      <c r="D31" s="24">
        <v>184</v>
      </c>
      <c r="E31" s="24">
        <v>0</v>
      </c>
      <c r="F31" s="24">
        <v>0</v>
      </c>
      <c r="G31" s="24">
        <v>0</v>
      </c>
      <c r="H31" s="25"/>
      <c r="I31" s="24"/>
      <c r="J31" s="24"/>
      <c r="K31" s="24"/>
      <c r="L31" s="24"/>
      <c r="M31" s="24"/>
      <c r="N31" s="39">
        <f t="shared" si="0"/>
        <v>184</v>
      </c>
    </row>
    <row r="32" spans="1:15" ht="19">
      <c r="A32" s="12" t="s">
        <v>41</v>
      </c>
      <c r="B32" s="24">
        <v>3000</v>
      </c>
      <c r="C32" s="24">
        <v>539.71</v>
      </c>
      <c r="D32" s="24">
        <v>0</v>
      </c>
      <c r="E32" s="24">
        <v>0</v>
      </c>
      <c r="F32" s="24">
        <v>0</v>
      </c>
      <c r="G32" s="24">
        <v>0</v>
      </c>
      <c r="H32" s="25"/>
      <c r="I32" s="24"/>
      <c r="J32" s="24"/>
      <c r="K32" s="24"/>
      <c r="L32" s="24"/>
      <c r="M32" s="24"/>
      <c r="N32" s="39">
        <f t="shared" si="0"/>
        <v>3539.71</v>
      </c>
    </row>
    <row r="33" spans="1:15" ht="19">
      <c r="A33" s="12" t="s">
        <v>42</v>
      </c>
      <c r="B33" s="24">
        <v>1594.08</v>
      </c>
      <c r="C33" s="24">
        <v>0</v>
      </c>
      <c r="D33" s="24">
        <v>0</v>
      </c>
      <c r="E33" s="24">
        <v>0</v>
      </c>
      <c r="F33" s="24">
        <v>0</v>
      </c>
      <c r="G33" s="24">
        <v>0</v>
      </c>
      <c r="H33" s="25"/>
      <c r="I33" s="24"/>
      <c r="J33" s="24"/>
      <c r="K33" s="24"/>
      <c r="L33" s="24"/>
      <c r="M33" s="24"/>
      <c r="N33" s="39">
        <f t="shared" si="0"/>
        <v>1594.08</v>
      </c>
    </row>
    <row r="34" spans="1:15" ht="19">
      <c r="A34" s="12" t="s">
        <v>43</v>
      </c>
      <c r="B34" s="24">
        <v>0</v>
      </c>
      <c r="C34" s="24">
        <v>500</v>
      </c>
      <c r="D34" s="24">
        <v>0</v>
      </c>
      <c r="E34" s="24">
        <v>0</v>
      </c>
      <c r="F34" s="24">
        <v>0</v>
      </c>
      <c r="G34" s="24">
        <v>0</v>
      </c>
      <c r="H34" s="25"/>
      <c r="I34" s="24"/>
      <c r="J34" s="24"/>
      <c r="K34" s="24"/>
      <c r="L34" s="24"/>
      <c r="M34" s="24"/>
      <c r="N34" s="39">
        <f t="shared" si="0"/>
        <v>500</v>
      </c>
    </row>
    <row r="35" spans="1:15" ht="19">
      <c r="A35" s="12" t="s">
        <v>44</v>
      </c>
      <c r="B35" s="24">
        <v>0</v>
      </c>
      <c r="C35" s="24">
        <v>0</v>
      </c>
      <c r="D35" s="24">
        <v>0</v>
      </c>
      <c r="E35" s="24">
        <v>0</v>
      </c>
      <c r="F35" s="24">
        <v>0</v>
      </c>
      <c r="G35" s="24">
        <v>0</v>
      </c>
      <c r="H35" s="25">
        <v>150</v>
      </c>
      <c r="I35" s="24"/>
      <c r="J35" s="24">
        <v>150</v>
      </c>
      <c r="K35" s="24"/>
      <c r="L35" s="24">
        <v>600</v>
      </c>
      <c r="M35" s="24"/>
      <c r="N35" s="39">
        <f t="shared" si="0"/>
        <v>900</v>
      </c>
    </row>
    <row r="36" spans="1:15" ht="19">
      <c r="A36" s="12" t="s">
        <v>45</v>
      </c>
      <c r="B36" s="24">
        <v>0</v>
      </c>
      <c r="C36" s="24">
        <v>0</v>
      </c>
      <c r="D36" s="24">
        <v>634.77</v>
      </c>
      <c r="E36" s="24">
        <v>0</v>
      </c>
      <c r="F36" s="24">
        <v>0</v>
      </c>
      <c r="G36" s="24">
        <v>0</v>
      </c>
      <c r="H36" s="25"/>
      <c r="I36" s="24"/>
      <c r="J36" s="24"/>
      <c r="K36" s="24"/>
      <c r="L36" s="24"/>
      <c r="M36" s="24"/>
      <c r="N36" s="39">
        <f t="shared" si="0"/>
        <v>634.77</v>
      </c>
    </row>
    <row r="37" spans="1:15" ht="19">
      <c r="A37" s="13" t="s">
        <v>46</v>
      </c>
      <c r="B37" s="24">
        <v>828</v>
      </c>
      <c r="C37" s="24">
        <v>870</v>
      </c>
      <c r="D37" s="24">
        <v>870</v>
      </c>
      <c r="E37" s="24">
        <v>870</v>
      </c>
      <c r="F37" s="24">
        <v>870</v>
      </c>
      <c r="G37" s="24">
        <v>870</v>
      </c>
      <c r="H37" s="25">
        <v>870</v>
      </c>
      <c r="I37" s="24">
        <v>870</v>
      </c>
      <c r="J37" s="24">
        <v>870</v>
      </c>
      <c r="K37" s="24">
        <v>870</v>
      </c>
      <c r="L37" s="24">
        <v>870</v>
      </c>
      <c r="M37" s="24">
        <v>870</v>
      </c>
      <c r="N37" s="39">
        <f t="shared" si="0"/>
        <v>10398</v>
      </c>
    </row>
    <row r="38" spans="1:15" ht="20">
      <c r="A38" s="19" t="s">
        <v>47</v>
      </c>
      <c r="B38" s="24"/>
      <c r="C38" s="24"/>
      <c r="D38" s="24"/>
      <c r="E38" s="24"/>
      <c r="F38" s="24"/>
      <c r="G38" s="24"/>
      <c r="H38" s="25"/>
      <c r="I38" s="24"/>
      <c r="J38" s="24"/>
      <c r="K38" s="24"/>
      <c r="L38" s="24"/>
      <c r="M38" s="24"/>
      <c r="N38" s="39">
        <f t="shared" si="0"/>
        <v>0</v>
      </c>
    </row>
    <row r="39" spans="1:15" ht="20">
      <c r="A39" s="18" t="s">
        <v>48</v>
      </c>
      <c r="B39" s="24">
        <v>646.04999999999995</v>
      </c>
      <c r="C39" s="24">
        <v>596.47</v>
      </c>
      <c r="D39" s="24">
        <v>0</v>
      </c>
      <c r="E39" s="24">
        <v>69.11</v>
      </c>
      <c r="F39" s="24">
        <v>1.69</v>
      </c>
      <c r="G39" s="24">
        <v>42.7</v>
      </c>
      <c r="H39" s="25"/>
      <c r="I39" s="24">
        <v>45.13</v>
      </c>
      <c r="J39" s="24">
        <v>46.46</v>
      </c>
      <c r="K39" s="24">
        <v>46.46</v>
      </c>
      <c r="L39" s="24">
        <v>46.46</v>
      </c>
      <c r="M39" s="24">
        <v>46.46</v>
      </c>
      <c r="N39" s="39">
        <f>SUM(B39:M39)</f>
        <v>1586.9900000000002</v>
      </c>
    </row>
    <row r="40" spans="1:15" ht="20">
      <c r="A40" s="18" t="s">
        <v>49</v>
      </c>
      <c r="B40" s="24">
        <v>7103.68</v>
      </c>
      <c r="C40" s="24">
        <v>7149.48</v>
      </c>
      <c r="D40" s="24">
        <v>7615.69</v>
      </c>
      <c r="E40" s="24">
        <v>8554.48</v>
      </c>
      <c r="F40" s="24">
        <v>8107.88</v>
      </c>
      <c r="G40" s="24">
        <v>7321.39</v>
      </c>
      <c r="H40" s="25">
        <v>8775.33</v>
      </c>
      <c r="I40" s="24">
        <v>7387.18</v>
      </c>
      <c r="J40" s="24">
        <v>6226.72</v>
      </c>
      <c r="K40" s="24">
        <v>6226.72</v>
      </c>
      <c r="L40" s="24">
        <v>6226.72</v>
      </c>
      <c r="M40" s="24">
        <v>6226.72</v>
      </c>
      <c r="N40" s="39">
        <f t="shared" si="0"/>
        <v>86921.99</v>
      </c>
      <c r="O40" s="67">
        <f>SUM(N39:N41)</f>
        <v>141540.77000000002</v>
      </c>
    </row>
    <row r="41" spans="1:15" ht="20">
      <c r="A41" s="18" t="s">
        <v>50</v>
      </c>
      <c r="B41" s="34">
        <v>3925.91</v>
      </c>
      <c r="C41" s="34">
        <v>3711.41</v>
      </c>
      <c r="D41" s="34">
        <v>3637.22</v>
      </c>
      <c r="E41" s="34">
        <v>3957.63</v>
      </c>
      <c r="F41" s="34">
        <v>4366.68</v>
      </c>
      <c r="G41" s="34">
        <v>4261.47</v>
      </c>
      <c r="H41" s="36">
        <v>4974.47</v>
      </c>
      <c r="I41" s="24">
        <v>4550.84</v>
      </c>
      <c r="J41" s="34">
        <v>4911.54</v>
      </c>
      <c r="K41" s="34">
        <v>4911.54</v>
      </c>
      <c r="L41" s="34">
        <v>4911.54</v>
      </c>
      <c r="M41" s="34">
        <v>4911.54</v>
      </c>
      <c r="N41" s="39">
        <f t="shared" si="0"/>
        <v>53031.790000000008</v>
      </c>
    </row>
    <row r="42" spans="1:15" ht="20">
      <c r="A42" s="19" t="s">
        <v>51</v>
      </c>
      <c r="B42" s="24">
        <v>0</v>
      </c>
      <c r="C42" s="24">
        <v>1000</v>
      </c>
      <c r="D42" s="24">
        <v>500</v>
      </c>
      <c r="E42" s="24">
        <v>0</v>
      </c>
      <c r="F42" s="24">
        <v>0</v>
      </c>
      <c r="G42" s="24">
        <v>0</v>
      </c>
      <c r="H42" s="25"/>
      <c r="I42" s="24"/>
      <c r="J42" s="29">
        <v>500</v>
      </c>
      <c r="K42" s="24">
        <v>500</v>
      </c>
      <c r="L42" s="24"/>
      <c r="M42" s="24"/>
      <c r="N42" s="39">
        <f t="shared" si="0"/>
        <v>2500</v>
      </c>
    </row>
    <row r="43" spans="1:15" ht="19">
      <c r="A43" s="13" t="s">
        <v>52</v>
      </c>
      <c r="B43" s="26">
        <v>41740.07</v>
      </c>
      <c r="C43" s="26">
        <v>47994.02</v>
      </c>
      <c r="D43" s="26">
        <v>37921.01</v>
      </c>
      <c r="E43" s="26">
        <v>1060011.78</v>
      </c>
      <c r="F43" s="26">
        <f t="shared" ref="F43:M43" si="2">SUM(F12:F42)</f>
        <v>40166.159999999996</v>
      </c>
      <c r="G43" s="26">
        <f t="shared" si="2"/>
        <v>46262.06</v>
      </c>
      <c r="H43" s="26">
        <f t="shared" si="2"/>
        <v>36408.050000000003</v>
      </c>
      <c r="I43" s="26">
        <f t="shared" si="2"/>
        <v>52489.94</v>
      </c>
      <c r="J43" s="26">
        <f t="shared" si="2"/>
        <v>39585.01</v>
      </c>
      <c r="K43" s="26">
        <f t="shared" si="2"/>
        <v>49664.160000000003</v>
      </c>
      <c r="L43" s="26">
        <f t="shared" si="2"/>
        <v>44000.350000000006</v>
      </c>
      <c r="M43" s="26">
        <f t="shared" si="2"/>
        <v>127971.73</v>
      </c>
      <c r="N43" s="39">
        <f t="shared" si="0"/>
        <v>1624214.34</v>
      </c>
    </row>
    <row r="44" spans="1:15" ht="19">
      <c r="A44" s="13"/>
      <c r="B44" s="26"/>
      <c r="C44" s="26"/>
      <c r="D44" s="26"/>
      <c r="E44" s="26"/>
      <c r="F44" s="24"/>
      <c r="G44" s="24"/>
      <c r="H44" s="25"/>
      <c r="I44" s="24"/>
      <c r="J44" s="24"/>
      <c r="K44" s="24"/>
      <c r="L44" s="24"/>
      <c r="M44" s="24"/>
      <c r="N44" s="39">
        <f t="shared" si="0"/>
        <v>0</v>
      </c>
    </row>
    <row r="45" spans="1:15" ht="19">
      <c r="A45" s="20" t="s">
        <v>53</v>
      </c>
      <c r="B45" s="26"/>
      <c r="C45" s="26"/>
      <c r="D45" s="26"/>
      <c r="E45" s="24"/>
      <c r="F45" s="24"/>
      <c r="G45" s="24"/>
      <c r="H45" s="25"/>
      <c r="I45" s="24"/>
      <c r="J45" s="24"/>
      <c r="K45" s="24"/>
      <c r="L45" s="24"/>
      <c r="M45" s="24"/>
      <c r="N45" s="39">
        <f t="shared" si="0"/>
        <v>0</v>
      </c>
    </row>
    <row r="46" spans="1:15" ht="19">
      <c r="A46" s="16" t="s">
        <v>35</v>
      </c>
      <c r="B46" s="34">
        <v>0</v>
      </c>
      <c r="C46" s="34">
        <v>0</v>
      </c>
      <c r="D46" s="34">
        <v>0</v>
      </c>
      <c r="E46" s="24">
        <v>156</v>
      </c>
      <c r="F46" s="34">
        <v>137</v>
      </c>
      <c r="G46" s="24">
        <v>220</v>
      </c>
      <c r="H46" s="25">
        <v>314</v>
      </c>
      <c r="I46" s="24">
        <v>30</v>
      </c>
      <c r="J46" s="24">
        <v>97</v>
      </c>
      <c r="K46" s="24">
        <v>460</v>
      </c>
      <c r="L46" s="24">
        <v>394</v>
      </c>
      <c r="M46" s="24"/>
      <c r="N46" s="39">
        <f t="shared" si="0"/>
        <v>1808</v>
      </c>
    </row>
    <row r="47" spans="1:15" ht="19">
      <c r="A47" s="16" t="s">
        <v>36</v>
      </c>
      <c r="B47" s="34">
        <v>0</v>
      </c>
      <c r="C47" s="34">
        <v>0</v>
      </c>
      <c r="D47" s="34">
        <v>169</v>
      </c>
      <c r="E47" s="24">
        <v>210</v>
      </c>
      <c r="F47" s="34">
        <v>23.75</v>
      </c>
      <c r="G47" s="24">
        <v>26</v>
      </c>
      <c r="H47" s="25">
        <v>50</v>
      </c>
      <c r="I47" s="24">
        <v>80</v>
      </c>
      <c r="J47" s="24"/>
      <c r="K47" s="24">
        <v>22</v>
      </c>
      <c r="L47" s="24">
        <v>70</v>
      </c>
      <c r="M47" s="24">
        <v>100</v>
      </c>
      <c r="N47" s="39">
        <f t="shared" si="0"/>
        <v>750.75</v>
      </c>
    </row>
    <row r="48" spans="1:15" ht="19">
      <c r="A48" s="16" t="s">
        <v>37</v>
      </c>
      <c r="B48" s="34">
        <v>0</v>
      </c>
      <c r="C48" s="34">
        <v>0</v>
      </c>
      <c r="D48" s="34">
        <v>1</v>
      </c>
      <c r="E48" s="24">
        <v>0</v>
      </c>
      <c r="F48" s="34">
        <v>120</v>
      </c>
      <c r="G48" s="24">
        <v>110</v>
      </c>
      <c r="H48" s="25">
        <v>50</v>
      </c>
      <c r="I48" s="24">
        <v>200</v>
      </c>
      <c r="J48" s="24">
        <v>0</v>
      </c>
      <c r="K48" s="24">
        <v>60</v>
      </c>
      <c r="L48" s="24">
        <v>60</v>
      </c>
      <c r="M48" s="24">
        <v>605</v>
      </c>
      <c r="N48" s="39">
        <f t="shared" si="0"/>
        <v>1206</v>
      </c>
    </row>
    <row r="49" spans="1:15" ht="19">
      <c r="A49" s="17" t="s">
        <v>54</v>
      </c>
      <c r="B49" s="26">
        <v>0</v>
      </c>
      <c r="C49" s="26">
        <v>0</v>
      </c>
      <c r="D49" s="26">
        <v>170</v>
      </c>
      <c r="E49" s="26">
        <v>366</v>
      </c>
      <c r="F49" s="26">
        <f>SUM(F46:F48)</f>
        <v>280.75</v>
      </c>
      <c r="G49" s="26">
        <f t="shared" ref="G49:M49" si="3">SUM(G46:G48)</f>
        <v>356</v>
      </c>
      <c r="H49" s="26">
        <f t="shared" si="3"/>
        <v>414</v>
      </c>
      <c r="I49" s="26">
        <f t="shared" si="3"/>
        <v>310</v>
      </c>
      <c r="J49" s="26">
        <f t="shared" si="3"/>
        <v>97</v>
      </c>
      <c r="K49" s="26">
        <f t="shared" si="3"/>
        <v>542</v>
      </c>
      <c r="L49" s="26">
        <f t="shared" si="3"/>
        <v>524</v>
      </c>
      <c r="M49" s="26">
        <f t="shared" si="3"/>
        <v>705</v>
      </c>
      <c r="N49" s="39">
        <f t="shared" si="0"/>
        <v>3764.75</v>
      </c>
    </row>
    <row r="50" spans="1:15" ht="19">
      <c r="A50" s="21" t="s">
        <v>55</v>
      </c>
      <c r="B50" s="35">
        <v>41740.07</v>
      </c>
      <c r="C50" s="35">
        <v>47994.02</v>
      </c>
      <c r="D50" s="35">
        <v>38091.01</v>
      </c>
      <c r="E50" s="35">
        <v>1060377.78</v>
      </c>
      <c r="F50" s="35">
        <f>SUM(F43+F49)</f>
        <v>40446.909999999996</v>
      </c>
      <c r="G50" s="35">
        <f t="shared" ref="G50:K50" si="4">SUM(G43+G49)</f>
        <v>46618.06</v>
      </c>
      <c r="H50" s="35">
        <f t="shared" si="4"/>
        <v>36822.050000000003</v>
      </c>
      <c r="I50" s="35">
        <f t="shared" si="4"/>
        <v>52799.94</v>
      </c>
      <c r="J50" s="35">
        <f t="shared" si="4"/>
        <v>39682.01</v>
      </c>
      <c r="K50" s="35">
        <f t="shared" si="4"/>
        <v>50206.16</v>
      </c>
      <c r="L50" s="35">
        <f>SUM(L43+L49)</f>
        <v>44524.350000000006</v>
      </c>
      <c r="M50" s="35">
        <f>SUM(M43+M49)</f>
        <v>128676.73</v>
      </c>
      <c r="N50" s="39">
        <f t="shared" si="0"/>
        <v>1627979.09</v>
      </c>
    </row>
    <row r="51" spans="1:15" ht="19">
      <c r="A51" s="21"/>
      <c r="B51" s="37"/>
      <c r="C51" s="37"/>
      <c r="D51" s="37"/>
      <c r="E51" s="37"/>
      <c r="F51" s="24"/>
      <c r="G51" s="24"/>
      <c r="H51" s="25"/>
      <c r="I51" s="24"/>
      <c r="J51" s="24"/>
      <c r="K51" s="24"/>
      <c r="L51" s="24"/>
      <c r="M51" s="24"/>
      <c r="N51" s="39"/>
    </row>
    <row r="52" spans="1:15" s="23" customFormat="1" ht="22">
      <c r="A52" s="22" t="s">
        <v>56</v>
      </c>
      <c r="B52" s="38">
        <f>SUM(B10+B50)</f>
        <v>198817.55000000002</v>
      </c>
      <c r="C52" s="38">
        <f t="shared" ref="C52:M52" si="5">SUM(C10+C50)</f>
        <v>199217.03</v>
      </c>
      <c r="D52" s="38">
        <f t="shared" si="5"/>
        <v>212968.52000000002</v>
      </c>
      <c r="E52" s="38">
        <f t="shared" si="5"/>
        <v>1214171.21</v>
      </c>
      <c r="F52" s="38">
        <f t="shared" si="5"/>
        <v>195868.24</v>
      </c>
      <c r="G52" s="38">
        <f t="shared" si="5"/>
        <v>306748.07</v>
      </c>
      <c r="H52" s="38">
        <f t="shared" si="5"/>
        <v>208898.75</v>
      </c>
      <c r="I52" s="38">
        <f t="shared" si="5"/>
        <v>275299.44</v>
      </c>
      <c r="J52" s="38">
        <f t="shared" si="5"/>
        <v>187100.13</v>
      </c>
      <c r="K52" s="38">
        <f t="shared" si="5"/>
        <v>272253.75</v>
      </c>
      <c r="L52" s="38">
        <f t="shared" si="5"/>
        <v>286604.71999999997</v>
      </c>
      <c r="M52" s="38">
        <f>SUM(M10+M50)</f>
        <v>411528.07</v>
      </c>
      <c r="N52" s="40">
        <f>SUM(B52:M52)</f>
        <v>3969475.48</v>
      </c>
      <c r="O52" s="7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2ABB-3ED4-2E49-8100-379335EC36C3}">
  <dimension ref="A1:N221"/>
  <sheetViews>
    <sheetView topLeftCell="A47" workbookViewId="0">
      <pane xSplit="1" topLeftCell="B1" activePane="topRight" state="frozen"/>
      <selection activeCell="A163" sqref="A163"/>
      <selection pane="topRight" activeCell="A72" sqref="A72:XFD77"/>
    </sheetView>
  </sheetViews>
  <sheetFormatPr baseColWidth="10" defaultColWidth="10.83203125" defaultRowHeight="16"/>
  <cols>
    <col min="1" max="1" width="62.5" style="68" bestFit="1" customWidth="1"/>
    <col min="2" max="13" width="16.6640625" style="68" bestFit="1" customWidth="1"/>
    <col min="14" max="14" width="23.33203125" style="68" customWidth="1"/>
    <col min="15" max="16384" width="10.83203125" style="68"/>
  </cols>
  <sheetData>
    <row r="1" spans="1:14" ht="29">
      <c r="A1" s="73" t="s">
        <v>57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4" t="s">
        <v>8</v>
      </c>
      <c r="J1" s="74" t="s">
        <v>9</v>
      </c>
      <c r="K1" s="74" t="s">
        <v>10</v>
      </c>
      <c r="L1" s="74" t="s">
        <v>11</v>
      </c>
      <c r="M1" s="74" t="s">
        <v>12</v>
      </c>
      <c r="N1" s="75" t="s">
        <v>13</v>
      </c>
    </row>
    <row r="2" spans="1:14" ht="22" customHeight="1">
      <c r="A2" s="73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/>
    </row>
    <row r="3" spans="1:14" ht="22">
      <c r="A3" s="76" t="s">
        <v>58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8"/>
    </row>
    <row r="4" spans="1:14" ht="19">
      <c r="A4" s="79" t="s">
        <v>59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>
        <v>7686.33</v>
      </c>
      <c r="N4" s="81"/>
    </row>
    <row r="5" spans="1:14" ht="20">
      <c r="A5" s="82" t="s">
        <v>60</v>
      </c>
      <c r="B5" s="80"/>
      <c r="C5" s="80"/>
      <c r="D5" s="80"/>
      <c r="E5" s="80"/>
      <c r="F5" s="80"/>
      <c r="G5" s="80"/>
      <c r="H5" s="80">
        <v>1831.11</v>
      </c>
      <c r="I5" s="80">
        <v>3654.18</v>
      </c>
      <c r="J5" s="80">
        <v>35</v>
      </c>
      <c r="K5" s="80">
        <v>5529.06</v>
      </c>
      <c r="L5" s="80">
        <v>2550</v>
      </c>
      <c r="M5" s="80">
        <v>400</v>
      </c>
      <c r="N5" s="81"/>
    </row>
    <row r="6" spans="1:14" ht="20">
      <c r="A6" s="82" t="s">
        <v>61</v>
      </c>
      <c r="B6" s="80">
        <v>600</v>
      </c>
      <c r="C6" s="80"/>
      <c r="D6" s="80">
        <v>525</v>
      </c>
      <c r="E6" s="80"/>
      <c r="F6" s="80"/>
      <c r="G6" s="80"/>
      <c r="H6" s="80">
        <v>600</v>
      </c>
      <c r="I6" s="80"/>
      <c r="J6" s="80"/>
      <c r="K6" s="80"/>
      <c r="L6" s="80">
        <v>500</v>
      </c>
      <c r="M6" s="80"/>
      <c r="N6" s="81"/>
    </row>
    <row r="7" spans="1:14" ht="20">
      <c r="A7" s="82" t="s">
        <v>62</v>
      </c>
      <c r="B7" s="80"/>
      <c r="C7" s="80"/>
      <c r="D7" s="80">
        <v>564</v>
      </c>
      <c r="E7" s="80"/>
      <c r="F7" s="80"/>
      <c r="G7" s="80">
        <v>1500</v>
      </c>
      <c r="H7" s="80"/>
      <c r="I7" s="80"/>
      <c r="J7" s="80"/>
      <c r="K7" s="80"/>
      <c r="L7" s="80">
        <v>1811.72</v>
      </c>
      <c r="M7" s="80">
        <v>1811.72</v>
      </c>
      <c r="N7" s="81"/>
    </row>
    <row r="8" spans="1:14" ht="20">
      <c r="A8" s="83" t="s">
        <v>63</v>
      </c>
      <c r="B8" s="84">
        <f>SUM(B5:B6)</f>
        <v>600</v>
      </c>
      <c r="C8" s="84"/>
      <c r="D8" s="84">
        <f>SUM(D5:D7)</f>
        <v>1089</v>
      </c>
      <c r="E8" s="84"/>
      <c r="F8" s="84"/>
      <c r="G8" s="84">
        <f t="shared" ref="G8:L8" si="0">SUM(G5:G7)</f>
        <v>1500</v>
      </c>
      <c r="H8" s="84">
        <f t="shared" si="0"/>
        <v>2431.1099999999997</v>
      </c>
      <c r="I8" s="84">
        <f t="shared" si="0"/>
        <v>3654.18</v>
      </c>
      <c r="J8" s="84">
        <f t="shared" si="0"/>
        <v>35</v>
      </c>
      <c r="K8" s="84">
        <f t="shared" si="0"/>
        <v>5529.06</v>
      </c>
      <c r="L8" s="84">
        <f t="shared" si="0"/>
        <v>4861.72</v>
      </c>
      <c r="M8" s="84">
        <f>SUM(M4:M7)</f>
        <v>9898.0499999999993</v>
      </c>
      <c r="N8" s="85">
        <f t="shared" ref="N8" si="1">SUM(B8:M8)</f>
        <v>29598.12</v>
      </c>
    </row>
    <row r="11" spans="1:14" ht="22">
      <c r="A11" s="76" t="s">
        <v>64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78"/>
    </row>
    <row r="12" spans="1:14" ht="20">
      <c r="A12" s="82" t="s">
        <v>65</v>
      </c>
      <c r="B12" s="80">
        <v>405.4</v>
      </c>
      <c r="C12" s="80">
        <v>952.36</v>
      </c>
      <c r="D12" s="80">
        <v>1597.4</v>
      </c>
      <c r="E12" s="80">
        <v>2659.18</v>
      </c>
      <c r="F12" s="80">
        <v>3735.8</v>
      </c>
      <c r="G12" s="80">
        <v>4096.0200000000004</v>
      </c>
      <c r="H12" s="80"/>
      <c r="I12" s="80">
        <v>981.68</v>
      </c>
      <c r="J12" s="80">
        <v>464.74</v>
      </c>
      <c r="K12" s="80">
        <v>225.77</v>
      </c>
      <c r="L12" s="80">
        <v>79.2</v>
      </c>
      <c r="M12" s="80">
        <v>79.2</v>
      </c>
      <c r="N12" s="81"/>
    </row>
    <row r="13" spans="1:14" ht="20">
      <c r="A13" s="82" t="s">
        <v>66</v>
      </c>
      <c r="B13" s="80">
        <v>250</v>
      </c>
      <c r="C13" s="80">
        <v>250</v>
      </c>
      <c r="D13" s="80">
        <v>250</v>
      </c>
      <c r="E13" s="80">
        <v>250</v>
      </c>
      <c r="F13" s="80">
        <v>250</v>
      </c>
      <c r="G13" s="80">
        <v>250</v>
      </c>
      <c r="H13" s="80">
        <v>250</v>
      </c>
      <c r="I13" s="80">
        <v>250</v>
      </c>
      <c r="J13" s="80">
        <v>250</v>
      </c>
      <c r="K13" s="80">
        <v>250</v>
      </c>
      <c r="L13" s="80">
        <v>250</v>
      </c>
      <c r="M13" s="80">
        <v>250</v>
      </c>
      <c r="N13" s="81"/>
    </row>
    <row r="14" spans="1:14" ht="20">
      <c r="A14" s="82" t="s">
        <v>67</v>
      </c>
      <c r="B14" s="80">
        <v>1157.8699999999999</v>
      </c>
      <c r="C14" s="80">
        <v>1875.9</v>
      </c>
      <c r="D14" s="80">
        <v>825.08</v>
      </c>
      <c r="E14" s="80">
        <v>2448.64</v>
      </c>
      <c r="F14" s="80">
        <v>2095.77</v>
      </c>
      <c r="G14" s="80">
        <v>1655.92</v>
      </c>
      <c r="H14" s="80">
        <v>1029.48</v>
      </c>
      <c r="I14" s="80">
        <v>1956.62</v>
      </c>
      <c r="J14" s="80">
        <v>1662.4</v>
      </c>
      <c r="K14" s="80">
        <v>432.89</v>
      </c>
      <c r="L14" s="80">
        <v>682.08</v>
      </c>
      <c r="M14" s="80">
        <v>852.7</v>
      </c>
      <c r="N14" s="81"/>
    </row>
    <row r="15" spans="1:14" ht="20">
      <c r="A15" s="82" t="s">
        <v>68</v>
      </c>
      <c r="B15" s="80"/>
      <c r="C15" s="80"/>
      <c r="D15" s="80"/>
      <c r="E15" s="80"/>
      <c r="F15" s="80"/>
      <c r="G15" s="80"/>
      <c r="H15" s="80">
        <v>3000</v>
      </c>
      <c r="I15" s="80"/>
      <c r="J15" s="80"/>
      <c r="K15" s="80"/>
      <c r="L15" s="80"/>
      <c r="M15" s="80"/>
      <c r="N15" s="81"/>
    </row>
    <row r="16" spans="1:14" ht="20">
      <c r="A16" s="82" t="s">
        <v>69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1"/>
    </row>
    <row r="17" spans="1:14" ht="19">
      <c r="A17" s="79" t="s">
        <v>70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1"/>
    </row>
    <row r="18" spans="1:14" ht="19">
      <c r="A18" s="79" t="s">
        <v>71</v>
      </c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1"/>
    </row>
    <row r="19" spans="1:14" ht="19">
      <c r="A19" s="79" t="s">
        <v>72</v>
      </c>
      <c r="B19" s="80"/>
      <c r="C19" s="80">
        <v>3200</v>
      </c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1"/>
    </row>
    <row r="20" spans="1:14" ht="19">
      <c r="A20" s="79" t="s">
        <v>73</v>
      </c>
      <c r="B20" s="80"/>
      <c r="C20" s="80">
        <v>880</v>
      </c>
      <c r="D20" s="80">
        <v>2105.23</v>
      </c>
      <c r="E20" s="80"/>
      <c r="F20" s="80"/>
      <c r="G20" s="80"/>
      <c r="H20" s="80"/>
      <c r="I20" s="80"/>
      <c r="J20" s="80"/>
      <c r="K20" s="80"/>
      <c r="L20" s="80"/>
      <c r="M20" s="80"/>
      <c r="N20" s="81"/>
    </row>
    <row r="21" spans="1:14" ht="19">
      <c r="A21" s="79" t="s">
        <v>74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1"/>
    </row>
    <row r="22" spans="1:14" ht="19">
      <c r="A22" s="79" t="s">
        <v>75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1"/>
    </row>
    <row r="23" spans="1:14" ht="19">
      <c r="A23" s="79" t="s">
        <v>76</v>
      </c>
      <c r="B23" s="80"/>
      <c r="C23" s="80"/>
      <c r="D23" s="80"/>
      <c r="E23" s="80">
        <v>245.75</v>
      </c>
      <c r="F23" s="80"/>
      <c r="G23" s="80"/>
      <c r="H23" s="80"/>
      <c r="I23" s="80"/>
      <c r="J23" s="80"/>
      <c r="K23" s="80"/>
      <c r="L23" s="80"/>
      <c r="M23" s="80"/>
      <c r="N23" s="81"/>
    </row>
    <row r="24" spans="1:14" ht="19">
      <c r="A24" s="79" t="s">
        <v>77</v>
      </c>
      <c r="B24" s="80"/>
      <c r="C24" s="80">
        <v>7000</v>
      </c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1"/>
    </row>
    <row r="25" spans="1:14" ht="19">
      <c r="A25" s="79" t="s">
        <v>78</v>
      </c>
      <c r="B25" s="80"/>
      <c r="C25" s="80"/>
      <c r="D25" s="80">
        <v>100</v>
      </c>
      <c r="E25" s="80"/>
      <c r="F25" s="80"/>
      <c r="G25" s="80"/>
      <c r="H25" s="80"/>
      <c r="I25" s="80"/>
      <c r="J25" s="80"/>
      <c r="K25" s="80"/>
      <c r="L25" s="80"/>
      <c r="M25" s="80"/>
      <c r="N25" s="81"/>
    </row>
    <row r="26" spans="1:14" ht="19">
      <c r="A26" s="79" t="s">
        <v>79</v>
      </c>
      <c r="B26" s="80"/>
      <c r="C26" s="80"/>
      <c r="D26" s="80">
        <v>100</v>
      </c>
      <c r="E26" s="80"/>
      <c r="F26" s="80"/>
      <c r="G26" s="80"/>
      <c r="H26" s="80"/>
      <c r="I26" s="80"/>
      <c r="J26" s="80"/>
      <c r="K26" s="80"/>
      <c r="L26" s="80"/>
      <c r="M26" s="80"/>
      <c r="N26" s="81"/>
    </row>
    <row r="27" spans="1:14" ht="19">
      <c r="A27" s="79" t="s">
        <v>80</v>
      </c>
      <c r="B27" s="80"/>
      <c r="C27" s="80"/>
      <c r="D27" s="80">
        <v>2800</v>
      </c>
      <c r="E27" s="80"/>
      <c r="F27" s="80"/>
      <c r="G27" s="80"/>
      <c r="H27" s="80"/>
      <c r="I27" s="80"/>
      <c r="J27" s="80"/>
      <c r="K27" s="80"/>
      <c r="L27" s="80"/>
      <c r="M27" s="80"/>
      <c r="N27" s="81"/>
    </row>
    <row r="28" spans="1:14" ht="19">
      <c r="A28" s="79" t="s">
        <v>81</v>
      </c>
      <c r="B28" s="80"/>
      <c r="C28" s="80"/>
      <c r="D28" s="80">
        <v>0</v>
      </c>
      <c r="E28" s="80">
        <v>103.19</v>
      </c>
      <c r="F28" s="80"/>
      <c r="G28" s="80"/>
      <c r="H28" s="80"/>
      <c r="I28" s="80"/>
      <c r="J28" s="80"/>
      <c r="K28" s="80"/>
      <c r="L28" s="80"/>
      <c r="M28" s="80"/>
      <c r="N28" s="81"/>
    </row>
    <row r="29" spans="1:14" ht="19">
      <c r="A29" s="79" t="s">
        <v>82</v>
      </c>
      <c r="B29" s="80"/>
      <c r="C29" s="80"/>
      <c r="D29" s="80">
        <v>923.31</v>
      </c>
      <c r="E29" s="80">
        <v>112.5</v>
      </c>
      <c r="F29" s="80"/>
      <c r="G29" s="80"/>
      <c r="H29" s="80"/>
      <c r="I29" s="80"/>
      <c r="J29" s="80"/>
      <c r="K29" s="80"/>
      <c r="L29" s="80"/>
      <c r="M29" s="80"/>
      <c r="N29" s="81"/>
    </row>
    <row r="30" spans="1:14" ht="19">
      <c r="A30" s="79" t="s">
        <v>83</v>
      </c>
      <c r="B30" s="80"/>
      <c r="C30" s="80"/>
      <c r="D30" s="80">
        <v>895.77</v>
      </c>
      <c r="E30" s="80">
        <v>0</v>
      </c>
      <c r="F30" s="80"/>
      <c r="G30" s="80"/>
      <c r="H30" s="80"/>
      <c r="I30" s="80"/>
      <c r="J30" s="80"/>
      <c r="K30" s="80"/>
      <c r="L30" s="80"/>
      <c r="M30" s="80"/>
      <c r="N30" s="81"/>
    </row>
    <row r="31" spans="1:14" ht="19">
      <c r="A31" s="79" t="s">
        <v>84</v>
      </c>
      <c r="B31" s="80"/>
      <c r="C31" s="80"/>
      <c r="D31" s="80">
        <v>594.15</v>
      </c>
      <c r="E31" s="80">
        <v>0</v>
      </c>
      <c r="F31" s="80"/>
      <c r="G31" s="80"/>
      <c r="H31" s="80"/>
      <c r="I31" s="80"/>
      <c r="J31" s="80"/>
      <c r="K31" s="80"/>
      <c r="L31" s="80"/>
      <c r="M31" s="80"/>
      <c r="N31" s="81"/>
    </row>
    <row r="32" spans="1:14" ht="19">
      <c r="A32" s="79" t="s">
        <v>85</v>
      </c>
      <c r="B32" s="80"/>
      <c r="C32" s="80"/>
      <c r="D32" s="80">
        <v>0</v>
      </c>
      <c r="E32" s="80">
        <v>469.5</v>
      </c>
      <c r="F32" s="80"/>
      <c r="G32" s="80"/>
      <c r="H32" s="80"/>
      <c r="I32" s="80"/>
      <c r="J32" s="80"/>
      <c r="K32" s="80"/>
      <c r="L32" s="80"/>
      <c r="M32" s="80"/>
      <c r="N32" s="81"/>
    </row>
    <row r="33" spans="1:14" ht="19">
      <c r="A33" s="79" t="s">
        <v>86</v>
      </c>
      <c r="B33" s="80"/>
      <c r="C33" s="80"/>
      <c r="D33" s="80">
        <v>115.2</v>
      </c>
      <c r="E33" s="80"/>
      <c r="F33" s="80"/>
      <c r="G33" s="80"/>
      <c r="H33" s="80"/>
      <c r="I33" s="80"/>
      <c r="J33" s="80"/>
      <c r="K33" s="80"/>
      <c r="L33" s="80"/>
      <c r="M33" s="80"/>
      <c r="N33" s="81"/>
    </row>
    <row r="34" spans="1:14" ht="19">
      <c r="A34" s="79" t="s">
        <v>87</v>
      </c>
      <c r="B34" s="80"/>
      <c r="C34" s="80"/>
      <c r="D34" s="80">
        <v>1500</v>
      </c>
      <c r="E34" s="80"/>
      <c r="F34" s="80"/>
      <c r="G34" s="80"/>
      <c r="H34" s="80"/>
      <c r="I34" s="80"/>
      <c r="J34" s="80"/>
      <c r="K34" s="80"/>
      <c r="L34" s="80"/>
      <c r="M34" s="80"/>
      <c r="N34" s="81"/>
    </row>
    <row r="35" spans="1:14" ht="19">
      <c r="A35" s="79" t="s">
        <v>88</v>
      </c>
      <c r="B35" s="80"/>
      <c r="C35" s="80"/>
      <c r="D35" s="80">
        <v>800</v>
      </c>
      <c r="E35" s="80"/>
      <c r="F35" s="80"/>
      <c r="G35" s="80"/>
      <c r="H35" s="80"/>
      <c r="I35" s="80"/>
      <c r="J35" s="80"/>
      <c r="K35" s="80"/>
      <c r="L35" s="80"/>
      <c r="M35" s="80"/>
      <c r="N35" s="81"/>
    </row>
    <row r="36" spans="1:14" ht="20">
      <c r="A36" s="82" t="s">
        <v>89</v>
      </c>
      <c r="B36" s="80">
        <v>350</v>
      </c>
      <c r="C36" s="80"/>
      <c r="D36" s="80">
        <v>0</v>
      </c>
      <c r="E36" s="80"/>
      <c r="F36" s="80">
        <v>370</v>
      </c>
      <c r="G36" s="80"/>
      <c r="H36" s="80"/>
      <c r="I36" s="80">
        <v>270</v>
      </c>
      <c r="J36" s="80">
        <v>270</v>
      </c>
      <c r="K36" s="80">
        <v>270</v>
      </c>
      <c r="L36" s="80">
        <v>350</v>
      </c>
      <c r="M36" s="80"/>
      <c r="N36" s="81"/>
    </row>
    <row r="37" spans="1:14" ht="20">
      <c r="A37" s="82" t="s">
        <v>90</v>
      </c>
      <c r="B37" s="80">
        <v>1899.52</v>
      </c>
      <c r="C37" s="80">
        <v>1899.3</v>
      </c>
      <c r="D37" s="80">
        <v>1899.3</v>
      </c>
      <c r="E37" s="80"/>
      <c r="F37" s="80"/>
      <c r="G37" s="80"/>
      <c r="H37" s="80"/>
      <c r="I37" s="80"/>
      <c r="J37" s="80"/>
      <c r="K37" s="80"/>
      <c r="L37" s="80"/>
      <c r="M37" s="80"/>
      <c r="N37" s="81"/>
    </row>
    <row r="38" spans="1:14" ht="20">
      <c r="A38" s="82" t="s">
        <v>91</v>
      </c>
      <c r="B38" s="80"/>
      <c r="C38" s="80"/>
      <c r="D38" s="80"/>
      <c r="E38" s="80"/>
      <c r="F38" s="80"/>
      <c r="G38" s="80">
        <v>701.93</v>
      </c>
      <c r="H38" s="80"/>
      <c r="I38" s="80"/>
      <c r="J38" s="80"/>
      <c r="K38" s="80"/>
      <c r="L38" s="80"/>
      <c r="M38" s="80"/>
      <c r="N38" s="81"/>
    </row>
    <row r="39" spans="1:14" ht="20">
      <c r="A39" s="82" t="s">
        <v>92</v>
      </c>
      <c r="B39" s="80"/>
      <c r="C39" s="80"/>
      <c r="D39" s="80"/>
      <c r="E39" s="80"/>
      <c r="F39" s="80"/>
      <c r="G39" s="80">
        <v>377.67</v>
      </c>
      <c r="H39" s="80"/>
      <c r="I39" s="80"/>
      <c r="J39" s="80"/>
      <c r="K39" s="80"/>
      <c r="L39" s="80"/>
      <c r="M39" s="80"/>
      <c r="N39" s="81"/>
    </row>
    <row r="40" spans="1:14" ht="20">
      <c r="A40" s="82" t="s">
        <v>93</v>
      </c>
      <c r="B40" s="80"/>
      <c r="C40" s="80"/>
      <c r="D40" s="80"/>
      <c r="E40" s="80"/>
      <c r="F40" s="80"/>
      <c r="G40" s="80">
        <v>357.28</v>
      </c>
      <c r="H40" s="80"/>
      <c r="I40" s="80"/>
      <c r="J40" s="80"/>
      <c r="K40" s="80"/>
      <c r="L40" s="80"/>
      <c r="M40" s="80"/>
      <c r="N40" s="81"/>
    </row>
    <row r="41" spans="1:14" ht="20">
      <c r="A41" s="82" t="s">
        <v>94</v>
      </c>
      <c r="B41" s="80">
        <v>96</v>
      </c>
      <c r="C41" s="80"/>
      <c r="D41" s="80">
        <v>0</v>
      </c>
      <c r="E41" s="80"/>
      <c r="F41" s="80"/>
      <c r="G41" s="80"/>
      <c r="H41" s="80"/>
      <c r="I41" s="80"/>
      <c r="J41" s="80"/>
      <c r="K41" s="80"/>
      <c r="L41" s="80"/>
      <c r="M41" s="80"/>
      <c r="N41" s="81"/>
    </row>
    <row r="42" spans="1:14" ht="20">
      <c r="A42" s="82" t="s">
        <v>95</v>
      </c>
      <c r="B42" s="80"/>
      <c r="C42" s="80"/>
      <c r="D42" s="80">
        <v>212.5</v>
      </c>
      <c r="E42" s="80">
        <v>294.64999999999998</v>
      </c>
      <c r="F42" s="80"/>
      <c r="G42" s="80"/>
      <c r="H42" s="80"/>
      <c r="I42" s="80"/>
      <c r="J42" s="80"/>
      <c r="K42" s="80"/>
      <c r="L42" s="80"/>
      <c r="M42" s="80"/>
      <c r="N42" s="81"/>
    </row>
    <row r="43" spans="1:14" ht="20">
      <c r="A43" s="82" t="s">
        <v>96</v>
      </c>
      <c r="B43" s="80"/>
      <c r="C43" s="80"/>
      <c r="D43" s="80">
        <v>218.4</v>
      </c>
      <c r="E43" s="80"/>
      <c r="F43" s="80"/>
      <c r="G43" s="80"/>
      <c r="H43" s="80"/>
      <c r="I43" s="80"/>
      <c r="J43" s="80"/>
      <c r="K43" s="80"/>
      <c r="L43" s="80"/>
      <c r="M43" s="80"/>
      <c r="N43" s="81"/>
    </row>
    <row r="44" spans="1:14" ht="20">
      <c r="A44" s="82" t="s">
        <v>97</v>
      </c>
      <c r="B44" s="80"/>
      <c r="C44" s="80">
        <v>995.85</v>
      </c>
      <c r="D44" s="80">
        <v>995.84</v>
      </c>
      <c r="E44" s="80">
        <v>995.84</v>
      </c>
      <c r="F44" s="80"/>
      <c r="G44" s="80"/>
      <c r="H44" s="80"/>
      <c r="I44" s="80"/>
      <c r="J44" s="80"/>
      <c r="K44" s="80"/>
      <c r="L44" s="80"/>
      <c r="M44" s="80"/>
      <c r="N44" s="81"/>
    </row>
    <row r="45" spans="1:14" ht="20">
      <c r="A45" s="82" t="s">
        <v>98</v>
      </c>
      <c r="B45" s="80"/>
      <c r="C45" s="80">
        <v>136.68</v>
      </c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1"/>
    </row>
    <row r="46" spans="1:14" ht="20">
      <c r="A46" s="82" t="s">
        <v>99</v>
      </c>
      <c r="B46" s="80"/>
      <c r="C46" s="80">
        <v>262.3</v>
      </c>
      <c r="D46" s="80">
        <v>60.48</v>
      </c>
      <c r="E46" s="80"/>
      <c r="F46" s="80"/>
      <c r="G46" s="80"/>
      <c r="H46" s="80"/>
      <c r="I46" s="80"/>
      <c r="J46" s="80"/>
      <c r="K46" s="80"/>
      <c r="L46" s="80"/>
      <c r="M46" s="80"/>
      <c r="N46" s="81"/>
    </row>
    <row r="47" spans="1:14" ht="20">
      <c r="A47" s="82" t="s">
        <v>100</v>
      </c>
      <c r="B47" s="80"/>
      <c r="C47" s="80">
        <v>417.56</v>
      </c>
      <c r="D47" s="80">
        <v>417.56</v>
      </c>
      <c r="E47" s="80"/>
      <c r="F47" s="80"/>
      <c r="G47" s="80"/>
      <c r="H47" s="80"/>
      <c r="I47" s="80"/>
      <c r="J47" s="80"/>
      <c r="K47" s="80"/>
      <c r="L47" s="80"/>
      <c r="M47" s="80"/>
      <c r="N47" s="81"/>
    </row>
    <row r="48" spans="1:14" ht="20">
      <c r="A48" s="82" t="s">
        <v>101</v>
      </c>
      <c r="B48" s="80"/>
      <c r="C48" s="80"/>
      <c r="D48" s="80"/>
      <c r="E48" s="80">
        <v>1182.0899999999999</v>
      </c>
      <c r="F48" s="80"/>
      <c r="G48" s="80"/>
      <c r="H48" s="80"/>
      <c r="I48" s="80"/>
      <c r="J48" s="80"/>
      <c r="K48" s="80"/>
      <c r="L48" s="80"/>
      <c r="M48" s="80"/>
      <c r="N48" s="81"/>
    </row>
    <row r="49" spans="1:14" ht="20">
      <c r="A49" s="82" t="s">
        <v>102</v>
      </c>
      <c r="B49" s="80">
        <v>160</v>
      </c>
      <c r="C49" s="80">
        <v>161.91999999999999</v>
      </c>
      <c r="D49" s="80">
        <v>160</v>
      </c>
      <c r="E49" s="80">
        <v>160</v>
      </c>
      <c r="F49" s="80">
        <v>160</v>
      </c>
      <c r="G49" s="80">
        <v>160</v>
      </c>
      <c r="H49" s="80">
        <v>160</v>
      </c>
      <c r="I49" s="80">
        <v>162.5</v>
      </c>
      <c r="J49" s="80">
        <v>160</v>
      </c>
      <c r="K49" s="80">
        <v>160</v>
      </c>
      <c r="L49" s="80">
        <v>160</v>
      </c>
      <c r="M49" s="80">
        <v>160</v>
      </c>
      <c r="N49" s="81"/>
    </row>
    <row r="50" spans="1:14" ht="20">
      <c r="A50" s="82" t="s">
        <v>103</v>
      </c>
      <c r="B50" s="80">
        <v>1391.5</v>
      </c>
      <c r="C50" s="80">
        <v>1334</v>
      </c>
      <c r="D50" s="80">
        <v>1414.5</v>
      </c>
      <c r="E50" s="80">
        <v>2276.5</v>
      </c>
      <c r="F50" s="80">
        <v>1547.3</v>
      </c>
      <c r="G50" s="80">
        <v>1811.5</v>
      </c>
      <c r="H50" s="80">
        <v>1566</v>
      </c>
      <c r="I50" s="80">
        <v>1733</v>
      </c>
      <c r="J50" s="80">
        <v>1653</v>
      </c>
      <c r="K50" s="80">
        <v>1546</v>
      </c>
      <c r="L50" s="80">
        <v>1520</v>
      </c>
      <c r="M50" s="80">
        <v>1711</v>
      </c>
      <c r="N50" s="81"/>
    </row>
    <row r="51" spans="1:14" ht="20">
      <c r="A51" s="82" t="s">
        <v>104</v>
      </c>
      <c r="B51" s="80"/>
      <c r="C51" s="80"/>
      <c r="D51" s="80"/>
      <c r="G51" s="80"/>
      <c r="H51" s="80">
        <v>1950</v>
      </c>
      <c r="I51" s="80"/>
      <c r="J51" s="80"/>
      <c r="K51" s="80"/>
      <c r="L51" s="80"/>
      <c r="M51" s="80"/>
      <c r="N51" s="81"/>
    </row>
    <row r="52" spans="1:14" ht="20">
      <c r="A52" s="82" t="s">
        <v>105</v>
      </c>
      <c r="B52" s="80">
        <v>0</v>
      </c>
      <c r="C52" s="80">
        <v>0</v>
      </c>
      <c r="D52" s="80">
        <v>1260</v>
      </c>
      <c r="E52" s="80">
        <v>0</v>
      </c>
      <c r="F52" s="80">
        <v>1260</v>
      </c>
      <c r="G52" s="80">
        <v>0</v>
      </c>
      <c r="H52" s="80"/>
      <c r="I52" s="80"/>
      <c r="J52" s="80">
        <v>1680</v>
      </c>
      <c r="K52" s="80"/>
      <c r="L52" s="80"/>
      <c r="M52" s="80">
        <v>1260</v>
      </c>
      <c r="N52" s="81"/>
    </row>
    <row r="53" spans="1:14" ht="20">
      <c r="A53" s="82" t="s">
        <v>106</v>
      </c>
      <c r="B53" s="80">
        <v>0</v>
      </c>
      <c r="C53" s="80">
        <v>0</v>
      </c>
      <c r="D53" s="80">
        <v>66</v>
      </c>
      <c r="E53" s="80">
        <v>0</v>
      </c>
      <c r="F53" s="80">
        <v>0</v>
      </c>
      <c r="G53" s="80">
        <v>49</v>
      </c>
      <c r="H53" s="80"/>
      <c r="I53" s="80"/>
      <c r="J53" s="80"/>
      <c r="K53" s="80"/>
      <c r="L53" s="80"/>
      <c r="M53" s="80"/>
      <c r="N53" s="81"/>
    </row>
    <row r="54" spans="1:14" ht="20">
      <c r="A54" s="82" t="s">
        <v>107</v>
      </c>
      <c r="B54" s="80">
        <v>0</v>
      </c>
      <c r="C54" s="80">
        <v>0</v>
      </c>
      <c r="D54" s="80">
        <v>77</v>
      </c>
      <c r="E54" s="80">
        <v>0</v>
      </c>
      <c r="F54" s="80">
        <v>0</v>
      </c>
      <c r="G54" s="80">
        <v>0</v>
      </c>
      <c r="H54" s="80"/>
      <c r="I54" s="80"/>
      <c r="J54" s="80"/>
      <c r="K54" s="80"/>
      <c r="L54" s="80"/>
      <c r="M54" s="80"/>
      <c r="N54" s="81"/>
    </row>
    <row r="55" spans="1:14" ht="20">
      <c r="A55" s="82" t="s">
        <v>108</v>
      </c>
      <c r="B55" s="80">
        <v>0</v>
      </c>
      <c r="C55" s="80">
        <v>80.58</v>
      </c>
      <c r="D55" s="80">
        <v>0</v>
      </c>
      <c r="E55" s="80">
        <v>0</v>
      </c>
      <c r="F55" s="80">
        <v>0</v>
      </c>
      <c r="G55" s="80">
        <v>0</v>
      </c>
      <c r="H55" s="80"/>
      <c r="I55" s="80"/>
      <c r="J55" s="80"/>
      <c r="K55" s="80"/>
      <c r="L55" s="80"/>
      <c r="M55" s="80"/>
      <c r="N55" s="81"/>
    </row>
    <row r="56" spans="1:14" ht="20">
      <c r="A56" s="82" t="s">
        <v>109</v>
      </c>
      <c r="B56" s="80">
        <v>108.3</v>
      </c>
      <c r="C56" s="80">
        <v>0</v>
      </c>
      <c r="D56" s="80">
        <v>0</v>
      </c>
      <c r="E56" s="80">
        <v>0</v>
      </c>
      <c r="F56" s="80">
        <v>509.6</v>
      </c>
      <c r="G56" s="80">
        <v>0</v>
      </c>
      <c r="H56" s="80">
        <v>274.77999999999997</v>
      </c>
      <c r="I56" s="80"/>
      <c r="J56" s="80"/>
      <c r="K56" s="80"/>
      <c r="L56" s="80"/>
      <c r="M56" s="80"/>
      <c r="N56" s="81"/>
    </row>
    <row r="57" spans="1:14" ht="20">
      <c r="A57" s="82" t="s">
        <v>110</v>
      </c>
      <c r="B57" s="80">
        <v>59.84</v>
      </c>
      <c r="C57" s="80">
        <v>0</v>
      </c>
      <c r="D57" s="80">
        <v>0</v>
      </c>
      <c r="E57" s="80">
        <v>0</v>
      </c>
      <c r="F57" s="80">
        <v>0</v>
      </c>
      <c r="G57" s="80">
        <v>0</v>
      </c>
      <c r="H57" s="80">
        <v>67.8</v>
      </c>
      <c r="I57" s="80"/>
      <c r="J57" s="80">
        <v>339.24</v>
      </c>
      <c r="K57" s="80"/>
      <c r="L57" s="80"/>
      <c r="M57" s="80"/>
      <c r="N57" s="81"/>
    </row>
    <row r="58" spans="1:14" ht="20">
      <c r="A58" s="82" t="s">
        <v>111</v>
      </c>
      <c r="B58" s="80">
        <v>0</v>
      </c>
      <c r="C58" s="80">
        <v>0</v>
      </c>
      <c r="D58" s="80">
        <v>0</v>
      </c>
      <c r="E58" s="80">
        <v>136</v>
      </c>
      <c r="F58" s="80">
        <v>99.56</v>
      </c>
      <c r="G58" s="80">
        <v>0</v>
      </c>
      <c r="H58" s="80">
        <v>271.39999999999998</v>
      </c>
      <c r="I58" s="80"/>
      <c r="J58" s="80"/>
      <c r="K58" s="80">
        <v>152.88999999999999</v>
      </c>
      <c r="L58" s="80">
        <v>87.92</v>
      </c>
      <c r="M58" s="80">
        <v>206.83</v>
      </c>
      <c r="N58" s="81"/>
    </row>
    <row r="59" spans="1:14" ht="20">
      <c r="A59" s="82" t="s">
        <v>112</v>
      </c>
      <c r="B59" s="80">
        <v>446</v>
      </c>
      <c r="C59" s="80">
        <v>124</v>
      </c>
      <c r="D59" s="80">
        <v>748</v>
      </c>
      <c r="E59" s="80">
        <v>207.7</v>
      </c>
      <c r="F59" s="80">
        <v>718.1</v>
      </c>
      <c r="G59" s="80">
        <v>0</v>
      </c>
      <c r="H59" s="80">
        <v>745</v>
      </c>
      <c r="I59" s="80">
        <v>373</v>
      </c>
      <c r="J59" s="80">
        <v>437.5</v>
      </c>
      <c r="K59" s="80">
        <v>519</v>
      </c>
      <c r="L59" s="80">
        <v>620.20000000000005</v>
      </c>
      <c r="M59" s="80"/>
      <c r="N59" s="81"/>
    </row>
    <row r="60" spans="1:14" ht="20">
      <c r="A60" s="82" t="s">
        <v>113</v>
      </c>
      <c r="B60" s="80">
        <v>211</v>
      </c>
      <c r="C60" s="80">
        <v>0</v>
      </c>
      <c r="D60" s="80">
        <v>0</v>
      </c>
      <c r="E60" s="80">
        <v>276</v>
      </c>
      <c r="F60" s="80">
        <v>302</v>
      </c>
      <c r="G60" s="80">
        <v>0</v>
      </c>
      <c r="H60" s="80">
        <v>23</v>
      </c>
      <c r="I60" s="80">
        <v>551.5</v>
      </c>
      <c r="J60" s="80">
        <v>155.5</v>
      </c>
      <c r="K60" s="80"/>
      <c r="L60" s="80"/>
      <c r="M60" s="80"/>
      <c r="N60" s="81"/>
    </row>
    <row r="61" spans="1:14" ht="20">
      <c r="A61" s="82" t="s">
        <v>114</v>
      </c>
      <c r="B61" s="80">
        <v>0</v>
      </c>
      <c r="C61" s="80">
        <v>0</v>
      </c>
      <c r="D61" s="80">
        <v>600</v>
      </c>
      <c r="E61" s="80">
        <v>0</v>
      </c>
      <c r="F61" s="80">
        <v>0</v>
      </c>
      <c r="G61" s="80">
        <v>0</v>
      </c>
      <c r="H61" s="80"/>
      <c r="I61" s="80">
        <v>164.5</v>
      </c>
      <c r="J61" s="80">
        <v>414.02</v>
      </c>
      <c r="K61" s="80">
        <v>144.6</v>
      </c>
      <c r="L61" s="80">
        <v>193.2</v>
      </c>
      <c r="M61" s="80">
        <v>212.56</v>
      </c>
    </row>
    <row r="62" spans="1:14" ht="20">
      <c r="A62" s="82" t="s">
        <v>115</v>
      </c>
      <c r="B62" s="80">
        <v>0</v>
      </c>
      <c r="C62" s="80">
        <v>0</v>
      </c>
      <c r="D62" s="80">
        <v>0</v>
      </c>
      <c r="E62" s="80">
        <v>0</v>
      </c>
      <c r="F62" s="80">
        <v>0</v>
      </c>
      <c r="G62" s="80">
        <v>0</v>
      </c>
      <c r="H62" s="80">
        <v>341.09</v>
      </c>
      <c r="I62" s="80"/>
      <c r="J62" s="80"/>
      <c r="K62" s="80"/>
      <c r="L62" s="80"/>
      <c r="M62" s="80"/>
    </row>
    <row r="63" spans="1:14" ht="20">
      <c r="A63" s="82" t="s">
        <v>116</v>
      </c>
      <c r="B63" s="80">
        <v>93.03</v>
      </c>
      <c r="C63" s="80">
        <v>68.45</v>
      </c>
      <c r="D63" s="80">
        <v>59.4</v>
      </c>
      <c r="E63" s="80">
        <v>70.17</v>
      </c>
      <c r="F63" s="80">
        <v>104.32</v>
      </c>
      <c r="G63" s="80">
        <v>82.05</v>
      </c>
      <c r="H63" s="80"/>
      <c r="I63" s="80">
        <v>118.33</v>
      </c>
      <c r="J63" s="80">
        <v>126.6</v>
      </c>
      <c r="K63" s="80">
        <v>52.11</v>
      </c>
      <c r="L63" s="80">
        <v>74.459999999999994</v>
      </c>
      <c r="M63" s="80">
        <v>8.08</v>
      </c>
    </row>
    <row r="64" spans="1:14" ht="20">
      <c r="A64" s="82" t="s">
        <v>117</v>
      </c>
      <c r="B64" s="80">
        <v>0</v>
      </c>
      <c r="C64" s="80">
        <v>0</v>
      </c>
      <c r="D64" s="80">
        <v>0</v>
      </c>
      <c r="E64" s="80">
        <v>0</v>
      </c>
      <c r="F64" s="80">
        <v>8.76</v>
      </c>
      <c r="G64" s="80">
        <v>0</v>
      </c>
      <c r="H64" s="80"/>
      <c r="I64" s="80"/>
      <c r="J64" s="80"/>
      <c r="K64" s="80"/>
      <c r="L64" s="80"/>
      <c r="M64" s="80"/>
    </row>
    <row r="65" spans="1:14" ht="20">
      <c r="A65" s="82" t="s">
        <v>118</v>
      </c>
      <c r="B65" s="80"/>
      <c r="C65" s="80"/>
      <c r="D65" s="80"/>
      <c r="E65" s="80"/>
      <c r="F65" s="80"/>
      <c r="G65" s="80"/>
      <c r="H65" s="80">
        <v>604.83000000000004</v>
      </c>
      <c r="I65" s="80">
        <v>2589.67</v>
      </c>
      <c r="J65" s="80"/>
      <c r="K65" s="80">
        <v>616.83000000000004</v>
      </c>
      <c r="L65" s="80">
        <v>2072</v>
      </c>
      <c r="M65" s="80">
        <v>200</v>
      </c>
    </row>
    <row r="66" spans="1:14" ht="20">
      <c r="A66" s="82" t="s">
        <v>119</v>
      </c>
      <c r="B66" s="80">
        <v>216.82</v>
      </c>
      <c r="C66" s="80">
        <v>216.82</v>
      </c>
      <c r="D66" s="80">
        <v>216.82</v>
      </c>
      <c r="E66" s="80">
        <v>216.82</v>
      </c>
      <c r="F66" s="80">
        <v>216.82</v>
      </c>
      <c r="G66" s="80">
        <v>216.82</v>
      </c>
      <c r="H66" s="80">
        <v>216.82</v>
      </c>
      <c r="I66" s="80">
        <v>216.82</v>
      </c>
      <c r="J66" s="80">
        <v>221.64</v>
      </c>
      <c r="K66" s="80">
        <v>216.82</v>
      </c>
      <c r="L66" s="80">
        <v>224.63</v>
      </c>
      <c r="M66" s="80">
        <v>766.2</v>
      </c>
    </row>
    <row r="67" spans="1:14" ht="20">
      <c r="A67" s="82" t="s">
        <v>120</v>
      </c>
      <c r="B67" s="80">
        <v>199.99</v>
      </c>
      <c r="C67" s="80">
        <v>199.99</v>
      </c>
      <c r="D67" s="80">
        <v>199.99</v>
      </c>
      <c r="E67" s="80">
        <v>199.99</v>
      </c>
      <c r="F67" s="80">
        <v>211.4</v>
      </c>
      <c r="G67" s="80">
        <v>214.99</v>
      </c>
      <c r="H67" s="80">
        <v>214.65</v>
      </c>
      <c r="I67" s="80">
        <v>214.99</v>
      </c>
      <c r="J67" s="80">
        <v>220.13</v>
      </c>
      <c r="K67" s="80">
        <v>194.99</v>
      </c>
      <c r="L67" s="80">
        <v>214.99</v>
      </c>
      <c r="M67" s="80">
        <v>214.99</v>
      </c>
    </row>
    <row r="68" spans="1:14" ht="20">
      <c r="A68" s="82" t="s">
        <v>121</v>
      </c>
      <c r="B68" s="80">
        <v>39.99</v>
      </c>
      <c r="C68" s="80">
        <v>39.99</v>
      </c>
      <c r="D68" s="80">
        <v>39.99</v>
      </c>
      <c r="E68" s="80">
        <v>39.99</v>
      </c>
      <c r="F68" s="80">
        <v>39.99</v>
      </c>
      <c r="G68" s="80">
        <v>39.99</v>
      </c>
      <c r="H68" s="80">
        <v>40.97</v>
      </c>
      <c r="I68" s="80">
        <v>39.99</v>
      </c>
      <c r="J68" s="80">
        <v>39.99</v>
      </c>
      <c r="K68" s="80">
        <v>39.99</v>
      </c>
      <c r="L68" s="80">
        <v>41.17</v>
      </c>
      <c r="M68" s="80">
        <v>31.94</v>
      </c>
      <c r="N68" s="81"/>
    </row>
    <row r="69" spans="1:14" ht="20">
      <c r="A69" s="83" t="s">
        <v>122</v>
      </c>
      <c r="B69" s="85">
        <f>SUM(B12:B68)</f>
        <v>7085.2599999999993</v>
      </c>
      <c r="C69" s="85">
        <f t="shared" ref="C69:M69" si="2">SUM(C12:C68)</f>
        <v>20095.700000000004</v>
      </c>
      <c r="D69" s="85">
        <f t="shared" si="2"/>
        <v>21251.920000000006</v>
      </c>
      <c r="E69" s="85">
        <f t="shared" si="2"/>
        <v>12344.509999999998</v>
      </c>
      <c r="F69" s="85">
        <f t="shared" si="2"/>
        <v>11629.419999999998</v>
      </c>
      <c r="G69" s="85">
        <f t="shared" si="2"/>
        <v>10013.169999999998</v>
      </c>
      <c r="H69" s="85">
        <f t="shared" si="2"/>
        <v>10755.819999999998</v>
      </c>
      <c r="I69" s="85">
        <f t="shared" si="2"/>
        <v>9622.5999999999985</v>
      </c>
      <c r="J69" s="85">
        <f t="shared" si="2"/>
        <v>8094.76</v>
      </c>
      <c r="K69" s="85">
        <f t="shared" si="2"/>
        <v>4821.8899999999994</v>
      </c>
      <c r="L69" s="85">
        <f t="shared" si="2"/>
        <v>6569.8499999999995</v>
      </c>
      <c r="M69" s="85">
        <f t="shared" si="2"/>
        <v>5953.4999999999991</v>
      </c>
      <c r="N69" s="85">
        <f>SUM(B69:M69)</f>
        <v>128238.39999999999</v>
      </c>
    </row>
    <row r="70" spans="1:14" ht="19">
      <c r="A70" s="87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</row>
    <row r="71" spans="1:14">
      <c r="A71" s="88"/>
    </row>
    <row r="72" spans="1:14" ht="22">
      <c r="A72" s="76" t="s">
        <v>123</v>
      </c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72"/>
    </row>
    <row r="73" spans="1:14" ht="20">
      <c r="A73" s="82" t="s">
        <v>124</v>
      </c>
      <c r="B73" s="80">
        <v>1500</v>
      </c>
      <c r="C73" s="80">
        <v>1500</v>
      </c>
      <c r="D73" s="80">
        <v>1500</v>
      </c>
      <c r="E73" s="80">
        <v>1600</v>
      </c>
      <c r="F73" s="80">
        <v>1600</v>
      </c>
      <c r="G73" s="80">
        <v>1600</v>
      </c>
      <c r="H73" s="80">
        <v>1600</v>
      </c>
      <c r="I73" s="80">
        <v>1600</v>
      </c>
      <c r="J73" s="80">
        <v>1600</v>
      </c>
      <c r="K73" s="80">
        <v>1600</v>
      </c>
      <c r="L73" s="80">
        <v>1600</v>
      </c>
      <c r="M73" s="80">
        <v>3200</v>
      </c>
      <c r="N73" s="72"/>
    </row>
    <row r="74" spans="1:14" ht="20">
      <c r="A74" s="82" t="s">
        <v>125</v>
      </c>
      <c r="B74" s="80">
        <v>500</v>
      </c>
      <c r="C74" s="80">
        <v>500</v>
      </c>
      <c r="D74" s="80">
        <v>500</v>
      </c>
      <c r="E74" s="80">
        <v>500</v>
      </c>
      <c r="F74" s="80">
        <v>500</v>
      </c>
      <c r="G74" s="80">
        <v>500</v>
      </c>
      <c r="H74" s="80">
        <v>500</v>
      </c>
      <c r="I74" s="80">
        <v>500</v>
      </c>
      <c r="J74" s="80">
        <v>500</v>
      </c>
      <c r="K74" s="80">
        <v>500</v>
      </c>
      <c r="L74" s="80">
        <v>500</v>
      </c>
      <c r="M74" s="80">
        <v>1000</v>
      </c>
      <c r="N74" s="72"/>
    </row>
    <row r="75" spans="1:14" ht="20">
      <c r="A75" s="82" t="s">
        <v>126</v>
      </c>
      <c r="B75" s="80">
        <v>1500</v>
      </c>
      <c r="C75" s="80">
        <v>1500</v>
      </c>
      <c r="D75" s="80">
        <v>1500</v>
      </c>
      <c r="E75" s="80">
        <v>1600</v>
      </c>
      <c r="F75" s="80">
        <v>1600</v>
      </c>
      <c r="G75" s="80">
        <v>1600</v>
      </c>
      <c r="H75" s="80">
        <v>1600</v>
      </c>
      <c r="I75" s="80">
        <v>1600</v>
      </c>
      <c r="J75" s="80">
        <v>1600</v>
      </c>
      <c r="K75" s="80">
        <v>1600</v>
      </c>
      <c r="L75" s="80">
        <v>1600</v>
      </c>
      <c r="M75" s="80">
        <v>3200</v>
      </c>
      <c r="N75" s="72"/>
    </row>
    <row r="76" spans="1:14" ht="20">
      <c r="A76" s="82" t="s">
        <v>127</v>
      </c>
      <c r="B76" s="80">
        <v>10200.620000000001</v>
      </c>
      <c r="C76" s="80">
        <v>10200.620000000001</v>
      </c>
      <c r="D76" s="80">
        <v>10200.620000000001</v>
      </c>
      <c r="E76" s="80">
        <v>10200.620000000001</v>
      </c>
      <c r="F76" s="80">
        <v>11200.62</v>
      </c>
      <c r="G76" s="80">
        <v>10200.620000000001</v>
      </c>
      <c r="H76" s="80">
        <v>10200.620000000001</v>
      </c>
      <c r="I76" s="80">
        <v>10200.620000000001</v>
      </c>
      <c r="J76" s="80">
        <v>10200.620000000001</v>
      </c>
      <c r="K76" s="80">
        <v>10200.620000000001</v>
      </c>
      <c r="L76" s="80">
        <v>10200.620000000001</v>
      </c>
      <c r="M76" s="80">
        <v>20404.11</v>
      </c>
      <c r="N76" s="72"/>
    </row>
    <row r="77" spans="1:14" ht="20">
      <c r="A77" s="83" t="s">
        <v>128</v>
      </c>
      <c r="B77" s="85">
        <f>SUM(B73:B76)</f>
        <v>13700.62</v>
      </c>
      <c r="C77" s="85">
        <f t="shared" ref="C77:M77" si="3">SUM(C73:C76)</f>
        <v>13700.62</v>
      </c>
      <c r="D77" s="85">
        <f t="shared" si="3"/>
        <v>13700.62</v>
      </c>
      <c r="E77" s="85">
        <f t="shared" si="3"/>
        <v>13900.62</v>
      </c>
      <c r="F77" s="85">
        <f t="shared" si="3"/>
        <v>14900.62</v>
      </c>
      <c r="G77" s="85">
        <f t="shared" si="3"/>
        <v>13900.62</v>
      </c>
      <c r="H77" s="85">
        <f t="shared" si="3"/>
        <v>13900.62</v>
      </c>
      <c r="I77" s="85">
        <f t="shared" si="3"/>
        <v>13900.62</v>
      </c>
      <c r="J77" s="85">
        <f t="shared" si="3"/>
        <v>13900.62</v>
      </c>
      <c r="K77" s="85">
        <f t="shared" si="3"/>
        <v>13900.62</v>
      </c>
      <c r="L77" s="85">
        <f t="shared" si="3"/>
        <v>13900.62</v>
      </c>
      <c r="M77" s="85">
        <f t="shared" si="3"/>
        <v>27804.11</v>
      </c>
      <c r="N77" s="85">
        <f>SUM(B77:M77)</f>
        <v>181110.93</v>
      </c>
    </row>
    <row r="80" spans="1:14" ht="22">
      <c r="A80" s="76" t="s">
        <v>129</v>
      </c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</row>
    <row r="81" spans="1:14" ht="19">
      <c r="A81" s="89" t="s">
        <v>130</v>
      </c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</row>
    <row r="82" spans="1:14" ht="20">
      <c r="A82" s="82" t="s">
        <v>131</v>
      </c>
      <c r="B82" s="80">
        <v>17000</v>
      </c>
      <c r="C82" s="80">
        <v>18000</v>
      </c>
      <c r="D82" s="80">
        <v>6000</v>
      </c>
      <c r="E82" s="80"/>
      <c r="F82" s="80"/>
      <c r="G82" s="80"/>
      <c r="H82" s="80"/>
      <c r="I82" s="80"/>
      <c r="J82" s="80">
        <v>8200</v>
      </c>
      <c r="K82" s="69">
        <v>8700</v>
      </c>
      <c r="L82" s="69">
        <v>8700</v>
      </c>
      <c r="M82" s="69">
        <v>11300</v>
      </c>
    </row>
    <row r="83" spans="1:14" ht="20">
      <c r="A83" s="82" t="s">
        <v>132</v>
      </c>
      <c r="B83" s="80">
        <v>6891.75</v>
      </c>
      <c r="C83" s="80"/>
      <c r="D83" s="80"/>
      <c r="E83" s="80">
        <v>13977.52</v>
      </c>
      <c r="F83" s="80">
        <v>13977.52</v>
      </c>
      <c r="G83" s="80">
        <v>13977.52</v>
      </c>
      <c r="H83" s="80">
        <v>13977.52</v>
      </c>
      <c r="I83" s="80">
        <v>13977.52</v>
      </c>
      <c r="J83" s="80">
        <v>13977.52</v>
      </c>
      <c r="K83" s="80">
        <v>13977.52</v>
      </c>
      <c r="L83" s="80">
        <v>13977.52</v>
      </c>
      <c r="M83" s="80">
        <v>13977.52</v>
      </c>
    </row>
    <row r="84" spans="1:14" ht="20">
      <c r="A84" s="82" t="s">
        <v>133</v>
      </c>
      <c r="B84" s="80">
        <v>2169.37</v>
      </c>
      <c r="C84" s="80">
        <v>2169.37</v>
      </c>
      <c r="D84" s="80">
        <v>3801.95</v>
      </c>
      <c r="E84" s="80">
        <v>2985.66</v>
      </c>
      <c r="F84" s="80">
        <v>2985.66</v>
      </c>
      <c r="G84" s="80">
        <v>2985.66</v>
      </c>
      <c r="H84" s="80">
        <v>2985.66</v>
      </c>
      <c r="I84" s="80">
        <v>2985.66</v>
      </c>
      <c r="J84" s="80">
        <v>2985.66</v>
      </c>
      <c r="K84" s="80">
        <v>2985.66</v>
      </c>
      <c r="L84" s="80">
        <v>2985.66</v>
      </c>
      <c r="M84" s="80">
        <v>2985.66</v>
      </c>
    </row>
    <row r="85" spans="1:14" ht="20">
      <c r="A85" s="82" t="s">
        <v>134</v>
      </c>
      <c r="B85" s="80">
        <v>836.22</v>
      </c>
      <c r="C85" s="80">
        <v>805.05</v>
      </c>
      <c r="D85" s="80">
        <v>916.88</v>
      </c>
      <c r="E85" s="80">
        <v>881.74</v>
      </c>
      <c r="F85" s="80">
        <v>895.62</v>
      </c>
      <c r="G85" s="80">
        <v>922.82</v>
      </c>
      <c r="H85" s="70">
        <v>866.2</v>
      </c>
      <c r="I85" s="70">
        <v>865.29</v>
      </c>
      <c r="J85" s="70">
        <v>889.18</v>
      </c>
      <c r="K85" s="70">
        <v>861.78</v>
      </c>
      <c r="L85" s="70">
        <v>911.02</v>
      </c>
      <c r="M85" s="70">
        <v>941.61</v>
      </c>
    </row>
    <row r="86" spans="1:14" ht="20">
      <c r="A86" s="82" t="s">
        <v>135</v>
      </c>
      <c r="B86" s="80">
        <v>9137.2999999999993</v>
      </c>
      <c r="C86" s="80">
        <v>4891.75</v>
      </c>
      <c r="D86" s="80">
        <v>12668.47</v>
      </c>
      <c r="E86" s="80">
        <v>6302.59</v>
      </c>
      <c r="F86" s="80">
        <v>12302.59</v>
      </c>
      <c r="G86" s="80">
        <v>12302.59</v>
      </c>
      <c r="H86" s="80">
        <v>12302.59</v>
      </c>
      <c r="I86" s="80">
        <v>12302.59</v>
      </c>
      <c r="J86" s="80">
        <v>12302.59</v>
      </c>
      <c r="K86" s="80">
        <v>3502.59</v>
      </c>
      <c r="L86" s="80">
        <v>12302.59</v>
      </c>
      <c r="M86" s="80">
        <v>3502.59</v>
      </c>
    </row>
    <row r="87" spans="1:14" ht="20">
      <c r="A87" s="82" t="s">
        <v>136</v>
      </c>
      <c r="B87" s="80">
        <v>938.9</v>
      </c>
      <c r="C87" s="80">
        <v>938.9</v>
      </c>
      <c r="D87" s="80">
        <v>1029.52</v>
      </c>
      <c r="E87" s="80">
        <v>984.21</v>
      </c>
      <c r="F87" s="80">
        <v>984.21</v>
      </c>
      <c r="G87" s="80">
        <v>984.21</v>
      </c>
      <c r="H87" s="80">
        <v>984.21</v>
      </c>
      <c r="I87" s="80">
        <v>984.21</v>
      </c>
      <c r="J87" s="80">
        <v>984.21</v>
      </c>
      <c r="K87" s="80">
        <v>984.21</v>
      </c>
      <c r="L87" s="80">
        <v>984.21</v>
      </c>
      <c r="M87" s="80">
        <v>984.21</v>
      </c>
    </row>
    <row r="88" spans="1:14" ht="20">
      <c r="A88" s="82" t="s">
        <v>137</v>
      </c>
      <c r="B88" s="80">
        <v>1567.47</v>
      </c>
      <c r="C88" s="80">
        <v>1631.48</v>
      </c>
      <c r="D88" s="80">
        <v>1631.48</v>
      </c>
      <c r="E88" s="80">
        <v>1631.48</v>
      </c>
      <c r="F88" s="80">
        <v>1631.48</v>
      </c>
      <c r="G88" s="80">
        <v>1631.48</v>
      </c>
      <c r="H88" s="80">
        <v>1631.48</v>
      </c>
      <c r="I88" s="80">
        <v>1631.48</v>
      </c>
      <c r="J88" s="80">
        <v>1631.48</v>
      </c>
      <c r="K88" s="80">
        <v>1631.48</v>
      </c>
      <c r="L88" s="80">
        <v>1631.48</v>
      </c>
      <c r="M88" s="80">
        <v>1631.48</v>
      </c>
    </row>
    <row r="89" spans="1:14" ht="20">
      <c r="A89" s="82" t="s">
        <v>138</v>
      </c>
      <c r="B89" s="80">
        <v>5565.49</v>
      </c>
      <c r="C89" s="80">
        <v>5565.49</v>
      </c>
      <c r="D89" s="80">
        <v>6996.77</v>
      </c>
      <c r="E89" s="80">
        <v>6996.77</v>
      </c>
      <c r="F89" s="80">
        <v>6996.77</v>
      </c>
      <c r="G89" s="80">
        <v>6972.38</v>
      </c>
      <c r="H89" s="80">
        <v>6972.38</v>
      </c>
      <c r="I89" s="80">
        <v>6972.38</v>
      </c>
      <c r="J89" s="80">
        <v>6972.38</v>
      </c>
      <c r="K89" s="80">
        <v>6972.38</v>
      </c>
      <c r="L89" s="80">
        <v>6972.38</v>
      </c>
      <c r="M89" s="80">
        <v>6972.38</v>
      </c>
    </row>
    <row r="90" spans="1:14" ht="20">
      <c r="A90" s="82" t="s">
        <v>139</v>
      </c>
      <c r="B90" s="80">
        <v>2664.77</v>
      </c>
      <c r="C90" s="80">
        <v>2537.77</v>
      </c>
      <c r="D90" s="80">
        <v>2462.77</v>
      </c>
      <c r="E90" s="80">
        <v>2600.91</v>
      </c>
      <c r="F90" s="80">
        <v>2780.91</v>
      </c>
      <c r="G90" s="80">
        <v>2787.91</v>
      </c>
      <c r="H90" s="80">
        <v>2660.91</v>
      </c>
      <c r="I90" s="80">
        <v>2652.91</v>
      </c>
      <c r="J90" s="80">
        <v>2667.91</v>
      </c>
      <c r="K90" s="80">
        <v>3100.91</v>
      </c>
      <c r="L90" s="80">
        <v>2659.91</v>
      </c>
      <c r="M90" s="80">
        <v>2757.91</v>
      </c>
    </row>
    <row r="91" spans="1:14" ht="20">
      <c r="A91" s="82" t="s">
        <v>140</v>
      </c>
      <c r="B91" s="80">
        <v>704.92</v>
      </c>
      <c r="C91" s="80">
        <v>782.9</v>
      </c>
      <c r="D91" s="80">
        <v>782.9</v>
      </c>
      <c r="E91" s="80">
        <v>782.9</v>
      </c>
      <c r="F91" s="80">
        <v>782.9</v>
      </c>
      <c r="G91" s="80">
        <v>782.9</v>
      </c>
      <c r="H91" s="80">
        <v>782.9</v>
      </c>
      <c r="I91" s="80">
        <v>802.2</v>
      </c>
      <c r="J91" s="80">
        <v>782.9</v>
      </c>
      <c r="K91" s="80">
        <v>782.9</v>
      </c>
      <c r="L91" s="80">
        <v>782.9</v>
      </c>
      <c r="M91" s="80">
        <v>782.9</v>
      </c>
    </row>
    <row r="92" spans="1:14" ht="20">
      <c r="A92" s="83" t="s">
        <v>141</v>
      </c>
      <c r="B92" s="85">
        <f>SUM(B82:B91)</f>
        <v>47476.189999999995</v>
      </c>
      <c r="C92" s="85">
        <f t="shared" ref="C92:M92" si="4">SUM(C82:C91)</f>
        <v>37322.71</v>
      </c>
      <c r="D92" s="85">
        <f t="shared" si="4"/>
        <v>36290.74</v>
      </c>
      <c r="E92" s="85">
        <f t="shared" si="4"/>
        <v>37143.780000000006</v>
      </c>
      <c r="F92" s="85">
        <f t="shared" si="4"/>
        <v>43337.660000000011</v>
      </c>
      <c r="G92" s="85">
        <f t="shared" si="4"/>
        <v>43347.469999999994</v>
      </c>
      <c r="H92" s="85">
        <f t="shared" si="4"/>
        <v>43163.85</v>
      </c>
      <c r="I92" s="85">
        <f t="shared" si="4"/>
        <v>43174.239999999991</v>
      </c>
      <c r="J92" s="85">
        <f t="shared" si="4"/>
        <v>51393.829999999994</v>
      </c>
      <c r="K92" s="85">
        <f t="shared" si="4"/>
        <v>43499.43</v>
      </c>
      <c r="L92" s="85">
        <f t="shared" si="4"/>
        <v>51907.670000000006</v>
      </c>
      <c r="M92" s="85">
        <f t="shared" si="4"/>
        <v>45836.26</v>
      </c>
      <c r="N92" s="85">
        <f>SUM(B92:M92)</f>
        <v>523893.82999999996</v>
      </c>
    </row>
    <row r="93" spans="1:14" ht="19">
      <c r="A93" s="79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</row>
    <row r="94" spans="1:14" ht="19">
      <c r="A94" s="90" t="s">
        <v>142</v>
      </c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</row>
    <row r="95" spans="1:14" ht="20">
      <c r="A95" s="82" t="s">
        <v>132</v>
      </c>
      <c r="B95" s="80">
        <v>567.1</v>
      </c>
      <c r="C95" s="80">
        <v>567.1</v>
      </c>
      <c r="D95" s="80">
        <v>623.9</v>
      </c>
      <c r="E95" s="80">
        <v>595.5</v>
      </c>
      <c r="F95" s="80">
        <v>595.5</v>
      </c>
      <c r="G95" s="80">
        <v>595.5</v>
      </c>
      <c r="H95" s="80">
        <v>595.5</v>
      </c>
      <c r="I95" s="80">
        <v>595.5</v>
      </c>
      <c r="J95" s="80">
        <v>595.5</v>
      </c>
      <c r="K95" s="80">
        <v>595.5</v>
      </c>
      <c r="L95" s="80">
        <v>595.5</v>
      </c>
      <c r="M95" s="80">
        <v>595.5</v>
      </c>
    </row>
    <row r="96" spans="1:14" ht="20">
      <c r="A96" s="82" t="s">
        <v>143</v>
      </c>
      <c r="B96" s="80">
        <v>0</v>
      </c>
      <c r="C96" s="80">
        <v>0</v>
      </c>
      <c r="D96" s="80">
        <v>9952.6</v>
      </c>
      <c r="E96" s="80">
        <v>0</v>
      </c>
      <c r="F96" s="80"/>
      <c r="G96" s="80"/>
      <c r="H96" s="80"/>
      <c r="I96" s="80"/>
      <c r="J96" s="80"/>
      <c r="K96" s="80"/>
      <c r="L96" s="80"/>
      <c r="M96" s="80"/>
    </row>
    <row r="97" spans="1:14" ht="20">
      <c r="A97" s="82" t="s">
        <v>144</v>
      </c>
      <c r="B97" s="80">
        <v>8911.5</v>
      </c>
      <c r="C97" s="80">
        <v>8911.5</v>
      </c>
      <c r="D97" s="80">
        <v>9802.07</v>
      </c>
      <c r="E97" s="80">
        <v>9357.1</v>
      </c>
      <c r="F97" s="80">
        <v>9357.1</v>
      </c>
      <c r="G97" s="80">
        <v>9357.1</v>
      </c>
      <c r="H97" s="80">
        <v>9357.1</v>
      </c>
      <c r="I97" s="80">
        <v>9357.1</v>
      </c>
      <c r="J97" s="80">
        <v>9357.1</v>
      </c>
      <c r="K97" s="80">
        <v>9357.1</v>
      </c>
      <c r="L97" s="80">
        <v>9357.1</v>
      </c>
      <c r="M97" s="80">
        <v>9357.1</v>
      </c>
    </row>
    <row r="98" spans="1:14" ht="20">
      <c r="A98" s="82" t="s">
        <v>136</v>
      </c>
      <c r="B98" s="80">
        <v>713</v>
      </c>
      <c r="C98" s="80">
        <v>748.6</v>
      </c>
      <c r="D98" s="80">
        <v>748.6</v>
      </c>
      <c r="E98" s="80">
        <v>748.6</v>
      </c>
      <c r="F98" s="80">
        <v>748.6</v>
      </c>
      <c r="G98" s="80">
        <v>748.6</v>
      </c>
      <c r="H98" s="80">
        <v>748.6</v>
      </c>
      <c r="I98" s="80">
        <v>748.6</v>
      </c>
      <c r="J98" s="80">
        <v>748.6</v>
      </c>
      <c r="K98" s="80">
        <v>748.6</v>
      </c>
      <c r="L98" s="80">
        <v>748.6</v>
      </c>
      <c r="M98" s="80">
        <v>748.6</v>
      </c>
    </row>
    <row r="99" spans="1:14" ht="20">
      <c r="A99" s="82" t="s">
        <v>137</v>
      </c>
      <c r="B99" s="80">
        <v>1567.47</v>
      </c>
      <c r="C99" s="80">
        <v>1631.48</v>
      </c>
      <c r="D99" s="80">
        <v>1631.48</v>
      </c>
      <c r="E99" s="80">
        <v>1631.48</v>
      </c>
      <c r="F99" s="80">
        <v>1631.48</v>
      </c>
      <c r="G99" s="80">
        <v>1631.48</v>
      </c>
      <c r="H99" s="80">
        <v>1631.48</v>
      </c>
      <c r="I99" s="80">
        <v>1631.48</v>
      </c>
      <c r="J99" s="80">
        <v>1631.48</v>
      </c>
      <c r="K99" s="80">
        <v>1631.48</v>
      </c>
      <c r="L99" s="80">
        <v>1631.48</v>
      </c>
      <c r="M99" s="80">
        <v>1631.48</v>
      </c>
    </row>
    <row r="100" spans="1:14" ht="20">
      <c r="A100" s="82" t="s">
        <v>138</v>
      </c>
      <c r="B100" s="80">
        <v>1555.13</v>
      </c>
      <c r="C100" s="80">
        <v>1555.13</v>
      </c>
      <c r="D100" s="80">
        <v>1555.13</v>
      </c>
      <c r="E100" s="80">
        <v>1685.65</v>
      </c>
      <c r="F100" s="80">
        <v>1685.65</v>
      </c>
      <c r="G100" s="80">
        <v>1685.65</v>
      </c>
      <c r="H100" s="80">
        <v>1685.65</v>
      </c>
      <c r="I100" s="80">
        <v>1685.65</v>
      </c>
      <c r="J100" s="80">
        <v>1685.65</v>
      </c>
      <c r="K100" s="80">
        <v>1685.65</v>
      </c>
      <c r="L100" s="80">
        <v>1685.65</v>
      </c>
      <c r="M100" s="80">
        <v>1685.65</v>
      </c>
    </row>
    <row r="101" spans="1:14" ht="20">
      <c r="A101" s="82" t="s">
        <v>139</v>
      </c>
      <c r="B101" s="80">
        <v>1197.33</v>
      </c>
      <c r="C101" s="80">
        <v>1197.33</v>
      </c>
      <c r="D101" s="80">
        <v>1317.07</v>
      </c>
      <c r="E101" s="80">
        <v>1257.2</v>
      </c>
      <c r="F101" s="80">
        <v>1257.2</v>
      </c>
      <c r="G101" s="80">
        <v>1257.2</v>
      </c>
      <c r="H101" s="80">
        <v>1257.2</v>
      </c>
      <c r="I101" s="80">
        <v>1257.2</v>
      </c>
      <c r="J101" s="80">
        <v>1257.2</v>
      </c>
      <c r="K101" s="80">
        <v>1257.2</v>
      </c>
      <c r="L101" s="80">
        <v>1257.2</v>
      </c>
      <c r="M101" s="80">
        <v>1257.2</v>
      </c>
    </row>
    <row r="102" spans="1:14" ht="20">
      <c r="A102" s="82" t="s">
        <v>145</v>
      </c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>
        <v>756.93</v>
      </c>
    </row>
    <row r="103" spans="1:14" ht="20">
      <c r="A103" s="82" t="s">
        <v>146</v>
      </c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>
        <v>4976.3</v>
      </c>
      <c r="M103" s="80">
        <v>4976.3</v>
      </c>
    </row>
    <row r="104" spans="1:14" ht="20">
      <c r="A104" s="82" t="s">
        <v>147</v>
      </c>
      <c r="B104" s="80"/>
      <c r="C104" s="80"/>
      <c r="D104" s="80"/>
      <c r="E104" s="80"/>
      <c r="F104" s="80"/>
      <c r="G104" s="80">
        <v>3317.53</v>
      </c>
      <c r="H104" s="80"/>
      <c r="I104" s="80"/>
      <c r="J104" s="80"/>
      <c r="K104" s="80"/>
      <c r="L104" s="80"/>
      <c r="M104" s="80"/>
    </row>
    <row r="105" spans="1:14" ht="20">
      <c r="A105" s="83" t="s">
        <v>148</v>
      </c>
      <c r="B105" s="85">
        <f>SUM(B95:B104)</f>
        <v>14511.53</v>
      </c>
      <c r="C105" s="85">
        <f t="shared" ref="C105:M105" si="5">SUM(C95:C104)</f>
        <v>14611.140000000001</v>
      </c>
      <c r="D105" s="85">
        <f t="shared" si="5"/>
        <v>25630.85</v>
      </c>
      <c r="E105" s="85">
        <f t="shared" si="5"/>
        <v>15275.53</v>
      </c>
      <c r="F105" s="85">
        <f t="shared" si="5"/>
        <v>15275.53</v>
      </c>
      <c r="G105" s="85">
        <f t="shared" si="5"/>
        <v>18593.060000000001</v>
      </c>
      <c r="H105" s="85">
        <f t="shared" si="5"/>
        <v>15275.53</v>
      </c>
      <c r="I105" s="85">
        <f t="shared" si="5"/>
        <v>15275.53</v>
      </c>
      <c r="J105" s="85">
        <f t="shared" si="5"/>
        <v>15275.53</v>
      </c>
      <c r="K105" s="85">
        <f t="shared" si="5"/>
        <v>15275.53</v>
      </c>
      <c r="L105" s="85">
        <f t="shared" si="5"/>
        <v>20251.830000000002</v>
      </c>
      <c r="M105" s="85">
        <f t="shared" si="5"/>
        <v>21008.760000000002</v>
      </c>
      <c r="N105" s="85">
        <f>SUM(B105:M105)</f>
        <v>206260.35000000003</v>
      </c>
    </row>
    <row r="106" spans="1:14" ht="19">
      <c r="A106" s="79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</row>
    <row r="107" spans="1:14" ht="19">
      <c r="A107" s="89" t="s">
        <v>149</v>
      </c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</row>
    <row r="108" spans="1:14" ht="20">
      <c r="A108" s="82" t="s">
        <v>150</v>
      </c>
      <c r="B108" s="80">
        <v>500</v>
      </c>
      <c r="C108" s="80">
        <v>500</v>
      </c>
      <c r="D108" s="80">
        <v>3773.84</v>
      </c>
      <c r="E108" s="80">
        <v>2136.92</v>
      </c>
      <c r="F108" s="80">
        <v>2136.92</v>
      </c>
      <c r="G108" s="80">
        <v>2136.92</v>
      </c>
      <c r="H108" s="80">
        <v>2136.92</v>
      </c>
      <c r="I108" s="80">
        <v>2136.92</v>
      </c>
      <c r="J108" s="80">
        <v>2136.92</v>
      </c>
      <c r="K108" s="80">
        <v>2136.92</v>
      </c>
      <c r="L108" s="80">
        <v>2136.92</v>
      </c>
      <c r="M108" s="80">
        <v>2136.92</v>
      </c>
    </row>
    <row r="109" spans="1:14" ht="20">
      <c r="A109" s="82" t="s">
        <v>151</v>
      </c>
      <c r="B109" s="80">
        <v>7600</v>
      </c>
      <c r="C109" s="80">
        <v>7600</v>
      </c>
      <c r="D109" s="80">
        <v>8339.16</v>
      </c>
      <c r="E109" s="80">
        <v>7967.08</v>
      </c>
      <c r="F109" s="80">
        <v>7967.08</v>
      </c>
      <c r="G109" s="80">
        <v>7967.08</v>
      </c>
      <c r="H109" s="80">
        <v>7967.08</v>
      </c>
      <c r="I109" s="80">
        <v>7967.08</v>
      </c>
      <c r="J109" s="80">
        <v>7967.08</v>
      </c>
      <c r="K109" s="80">
        <v>7967.08</v>
      </c>
      <c r="L109" s="80">
        <v>7967.08</v>
      </c>
      <c r="M109" s="80">
        <v>7967.08</v>
      </c>
    </row>
    <row r="110" spans="1:14" ht="20">
      <c r="A110" s="82" t="s">
        <v>136</v>
      </c>
      <c r="B110" s="80">
        <v>608</v>
      </c>
      <c r="C110" s="80">
        <v>637.37</v>
      </c>
      <c r="D110" s="80">
        <v>637.37</v>
      </c>
      <c r="E110" s="80">
        <v>637.37</v>
      </c>
      <c r="F110" s="80">
        <v>637.37</v>
      </c>
      <c r="G110" s="80">
        <v>637.37</v>
      </c>
      <c r="H110" s="80">
        <v>637.37</v>
      </c>
      <c r="I110" s="80">
        <v>637.37</v>
      </c>
      <c r="J110" s="80">
        <v>637.37</v>
      </c>
      <c r="K110" s="80">
        <v>637.37</v>
      </c>
      <c r="L110" s="80">
        <v>637.37</v>
      </c>
      <c r="M110" s="80">
        <v>637.37</v>
      </c>
    </row>
    <row r="111" spans="1:14" ht="20">
      <c r="A111" s="82" t="s">
        <v>152</v>
      </c>
      <c r="B111" s="80">
        <v>0</v>
      </c>
      <c r="C111" s="80">
        <v>0</v>
      </c>
      <c r="D111" s="80">
        <v>0</v>
      </c>
      <c r="E111" s="80">
        <v>7000</v>
      </c>
      <c r="F111" s="80">
        <v>0</v>
      </c>
      <c r="G111" s="80">
        <v>0</v>
      </c>
      <c r="H111" s="80"/>
      <c r="I111" s="80"/>
      <c r="J111" s="80"/>
      <c r="K111" s="80"/>
      <c r="L111" s="80"/>
      <c r="M111" s="80"/>
    </row>
    <row r="112" spans="1:14" ht="20">
      <c r="A112" s="82" t="s">
        <v>137</v>
      </c>
      <c r="B112" s="80">
        <v>1567.47</v>
      </c>
      <c r="C112" s="80">
        <v>1631.48</v>
      </c>
      <c r="D112" s="80">
        <v>1631.48</v>
      </c>
      <c r="E112" s="80">
        <v>1631.48</v>
      </c>
      <c r="F112" s="80">
        <v>1631.48</v>
      </c>
      <c r="G112" s="80">
        <v>1631.48</v>
      </c>
      <c r="H112" s="80">
        <v>1631.48</v>
      </c>
      <c r="I112" s="80">
        <v>1631.48</v>
      </c>
      <c r="J112" s="80">
        <v>1631.48</v>
      </c>
      <c r="K112" s="80">
        <v>1631.48</v>
      </c>
      <c r="L112" s="80">
        <v>1631.48</v>
      </c>
      <c r="M112" s="80">
        <v>1631.48</v>
      </c>
    </row>
    <row r="113" spans="1:14" ht="20">
      <c r="A113" s="82" t="s">
        <v>138</v>
      </c>
      <c r="B113" s="80">
        <v>1175.0899999999999</v>
      </c>
      <c r="C113" s="80">
        <v>1175.0899999999999</v>
      </c>
      <c r="D113" s="80">
        <v>1175.0899999999999</v>
      </c>
      <c r="E113" s="80">
        <v>1726.19</v>
      </c>
      <c r="F113" s="80">
        <v>1726.19</v>
      </c>
      <c r="G113" s="80">
        <v>1702.89</v>
      </c>
      <c r="H113" s="80">
        <v>1726.19</v>
      </c>
      <c r="I113" s="80">
        <v>1702.89</v>
      </c>
      <c r="J113" s="80">
        <v>1702.89</v>
      </c>
      <c r="K113" s="80">
        <v>1702.89</v>
      </c>
      <c r="L113" s="80">
        <v>1702.89</v>
      </c>
      <c r="M113" s="80">
        <v>1702.89</v>
      </c>
    </row>
    <row r="114" spans="1:14" ht="20">
      <c r="A114" s="82" t="s">
        <v>139</v>
      </c>
      <c r="B114" s="80">
        <v>991.49</v>
      </c>
      <c r="C114" s="80">
        <v>991.49</v>
      </c>
      <c r="D114" s="80">
        <v>2876.8</v>
      </c>
      <c r="E114" s="80">
        <v>1268.29</v>
      </c>
      <c r="F114" s="80">
        <v>1268.29</v>
      </c>
      <c r="G114" s="80">
        <v>1358.2</v>
      </c>
      <c r="H114" s="80">
        <v>1600.64</v>
      </c>
      <c r="I114" s="80">
        <v>1443.79</v>
      </c>
      <c r="J114" s="80">
        <v>1301.8900000000001</v>
      </c>
      <c r="K114" s="80">
        <v>1301.8900000000001</v>
      </c>
      <c r="L114" s="80">
        <v>1301.8900000000001</v>
      </c>
      <c r="M114" s="80">
        <v>1301.8900000000001</v>
      </c>
    </row>
    <row r="115" spans="1:14" ht="20">
      <c r="A115" s="82" t="s">
        <v>145</v>
      </c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>
        <v>756.93</v>
      </c>
    </row>
    <row r="116" spans="1:14" ht="20">
      <c r="A116" s="82" t="s">
        <v>146</v>
      </c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>
        <v>5052</v>
      </c>
      <c r="M116" s="80">
        <v>5052</v>
      </c>
    </row>
    <row r="117" spans="1:14" ht="20">
      <c r="A117" s="82" t="s">
        <v>153</v>
      </c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>
        <v>1122.67</v>
      </c>
    </row>
    <row r="118" spans="1:14" ht="20">
      <c r="A118" s="83" t="s">
        <v>154</v>
      </c>
      <c r="B118" s="85">
        <f>SUM(B108:B117)</f>
        <v>12442.05</v>
      </c>
      <c r="C118" s="85">
        <f t="shared" ref="C118" si="6">SUM(C108:C117)</f>
        <v>12535.43</v>
      </c>
      <c r="D118" s="85">
        <f t="shared" ref="D118" si="7">SUM(D108:D117)</f>
        <v>18433.740000000002</v>
      </c>
      <c r="E118" s="85">
        <f t="shared" ref="E118" si="8">SUM(E108:E117)</f>
        <v>22367.33</v>
      </c>
      <c r="F118" s="85">
        <f t="shared" ref="F118" si="9">SUM(F108:F117)</f>
        <v>15367.330000000002</v>
      </c>
      <c r="G118" s="85">
        <f t="shared" ref="G118" si="10">SUM(G108:G117)</f>
        <v>15433.94</v>
      </c>
      <c r="H118" s="85">
        <f t="shared" ref="H118" si="11">SUM(H108:H117)</f>
        <v>15699.68</v>
      </c>
      <c r="I118" s="85">
        <f t="shared" ref="I118" si="12">SUM(I108:I117)</f>
        <v>15519.529999999999</v>
      </c>
      <c r="J118" s="85">
        <f t="shared" ref="J118" si="13">SUM(J108:J117)</f>
        <v>15377.63</v>
      </c>
      <c r="K118" s="85">
        <f t="shared" ref="K118" si="14">SUM(K108:K117)</f>
        <v>15377.63</v>
      </c>
      <c r="L118" s="85">
        <f t="shared" ref="L118" si="15">SUM(L108:L117)</f>
        <v>20429.629999999997</v>
      </c>
      <c r="M118" s="85">
        <f>SUM(M108:M117)</f>
        <v>22309.229999999996</v>
      </c>
      <c r="N118" s="85">
        <f>SUM(B118:M118)</f>
        <v>201293.15000000002</v>
      </c>
    </row>
    <row r="119" spans="1:14" ht="19">
      <c r="A119" s="79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</row>
    <row r="120" spans="1:14" ht="19">
      <c r="A120" s="89" t="s">
        <v>155</v>
      </c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</row>
    <row r="121" spans="1:14" ht="20">
      <c r="A121" s="82" t="s">
        <v>156</v>
      </c>
      <c r="B121" s="80">
        <v>2118</v>
      </c>
      <c r="C121" s="80">
        <v>2118</v>
      </c>
      <c r="D121" s="80">
        <v>2277</v>
      </c>
      <c r="E121" s="80">
        <v>2277</v>
      </c>
      <c r="F121" s="80">
        <v>2277</v>
      </c>
      <c r="G121" s="80">
        <v>2277</v>
      </c>
      <c r="H121" s="80">
        <v>2277</v>
      </c>
      <c r="I121" s="80">
        <v>2277</v>
      </c>
      <c r="J121" s="80">
        <v>2277</v>
      </c>
      <c r="K121" s="80">
        <v>2277</v>
      </c>
      <c r="L121" s="80">
        <v>2952.83</v>
      </c>
      <c r="M121" s="80">
        <v>2277</v>
      </c>
    </row>
    <row r="122" spans="1:14" ht="20">
      <c r="A122" s="82" t="s">
        <v>157</v>
      </c>
      <c r="B122" s="80">
        <v>160</v>
      </c>
      <c r="C122" s="80">
        <v>160</v>
      </c>
      <c r="D122" s="80">
        <v>160</v>
      </c>
      <c r="E122" s="80">
        <v>160</v>
      </c>
      <c r="F122" s="80">
        <v>160</v>
      </c>
      <c r="G122" s="80">
        <v>160</v>
      </c>
      <c r="H122" s="80">
        <v>160</v>
      </c>
      <c r="I122" s="80">
        <v>160</v>
      </c>
      <c r="J122" s="80">
        <v>160</v>
      </c>
      <c r="K122" s="80">
        <v>160</v>
      </c>
      <c r="L122" s="80">
        <v>160</v>
      </c>
      <c r="M122" s="80">
        <v>160</v>
      </c>
    </row>
    <row r="123" spans="1:14" ht="20">
      <c r="A123" s="82" t="s">
        <v>158</v>
      </c>
      <c r="B123" s="80">
        <v>870</v>
      </c>
      <c r="C123" s="80">
        <v>870</v>
      </c>
      <c r="D123" s="80">
        <v>870</v>
      </c>
      <c r="E123" s="80">
        <v>870</v>
      </c>
      <c r="F123" s="80">
        <v>870</v>
      </c>
      <c r="G123" s="80">
        <v>870</v>
      </c>
      <c r="H123" s="80">
        <v>870</v>
      </c>
      <c r="I123" s="80">
        <v>870</v>
      </c>
      <c r="J123" s="80">
        <v>870</v>
      </c>
      <c r="K123" s="80">
        <v>870</v>
      </c>
      <c r="L123" s="80">
        <v>870</v>
      </c>
      <c r="M123" s="80">
        <v>894</v>
      </c>
    </row>
    <row r="124" spans="1:14" ht="20">
      <c r="A124" s="82" t="s">
        <v>159</v>
      </c>
      <c r="B124" s="80">
        <v>786</v>
      </c>
      <c r="C124" s="80">
        <v>786</v>
      </c>
      <c r="D124" s="80">
        <v>786</v>
      </c>
      <c r="E124" s="80">
        <v>786</v>
      </c>
      <c r="F124" s="80">
        <v>786</v>
      </c>
      <c r="G124" s="80">
        <v>786</v>
      </c>
      <c r="H124" s="80">
        <v>786</v>
      </c>
      <c r="I124" s="80">
        <v>786</v>
      </c>
      <c r="J124" s="80">
        <v>786</v>
      </c>
      <c r="K124" s="80">
        <v>786</v>
      </c>
      <c r="L124" s="80">
        <v>786</v>
      </c>
      <c r="M124" s="80">
        <v>786</v>
      </c>
    </row>
    <row r="125" spans="1:14" ht="20">
      <c r="A125" s="82" t="s">
        <v>160</v>
      </c>
      <c r="B125" s="80">
        <v>0</v>
      </c>
      <c r="C125" s="80">
        <v>0</v>
      </c>
      <c r="D125" s="80">
        <v>3050.5</v>
      </c>
      <c r="E125" s="80">
        <v>3145</v>
      </c>
      <c r="F125" s="80">
        <v>2516</v>
      </c>
      <c r="G125" s="80">
        <v>2844.2</v>
      </c>
      <c r="H125" s="80">
        <v>3437.7</v>
      </c>
      <c r="I125" s="80">
        <v>1311.6</v>
      </c>
      <c r="J125" s="80">
        <v>2922.7</v>
      </c>
      <c r="K125" s="80">
        <v>1976.84</v>
      </c>
      <c r="L125" s="80">
        <v>2140.7600000000002</v>
      </c>
      <c r="M125" s="80">
        <v>1518.92</v>
      </c>
    </row>
    <row r="126" spans="1:14" ht="19">
      <c r="A126" s="79" t="s">
        <v>161</v>
      </c>
      <c r="B126" s="80">
        <v>0</v>
      </c>
      <c r="C126" s="80">
        <v>0</v>
      </c>
      <c r="D126" s="80">
        <v>600</v>
      </c>
      <c r="E126" s="80">
        <v>300</v>
      </c>
      <c r="F126" s="80">
        <v>500</v>
      </c>
      <c r="G126" s="80">
        <v>428.2</v>
      </c>
      <c r="H126" s="80">
        <v>305.02</v>
      </c>
      <c r="I126" s="80">
        <v>401.5</v>
      </c>
      <c r="J126" s="80">
        <v>436.1</v>
      </c>
      <c r="K126" s="80">
        <v>603.83000000000004</v>
      </c>
      <c r="L126" s="80">
        <v>1178.8599999999999</v>
      </c>
      <c r="M126" s="78">
        <v>1499.64</v>
      </c>
    </row>
    <row r="127" spans="1:14" ht="19">
      <c r="A127" s="91" t="s">
        <v>162</v>
      </c>
      <c r="B127" s="80"/>
      <c r="C127" s="80"/>
      <c r="D127" s="80"/>
      <c r="E127" s="80"/>
      <c r="F127" s="80"/>
      <c r="G127" s="80"/>
      <c r="H127" s="80">
        <v>1301.6300000000001</v>
      </c>
      <c r="I127" s="80">
        <v>1512.1</v>
      </c>
      <c r="J127" s="80">
        <v>946.41</v>
      </c>
      <c r="K127" s="80">
        <v>885.88</v>
      </c>
      <c r="L127" s="80">
        <v>1445.44</v>
      </c>
      <c r="M127" s="80">
        <v>800.63</v>
      </c>
    </row>
    <row r="128" spans="1:14" ht="19">
      <c r="A128" s="79" t="s">
        <v>163</v>
      </c>
      <c r="B128" s="80">
        <v>0</v>
      </c>
      <c r="C128" s="80">
        <v>0</v>
      </c>
      <c r="D128" s="80">
        <v>300</v>
      </c>
      <c r="E128" s="80">
        <v>300</v>
      </c>
      <c r="F128" s="80">
        <v>85</v>
      </c>
      <c r="G128" s="80">
        <v>85</v>
      </c>
      <c r="H128" s="80">
        <v>87.28</v>
      </c>
      <c r="I128" s="80">
        <v>265.08999999999997</v>
      </c>
      <c r="J128" s="80">
        <v>131.55000000000001</v>
      </c>
      <c r="K128" s="80">
        <v>80</v>
      </c>
      <c r="L128" s="80">
        <v>165</v>
      </c>
      <c r="M128" s="80">
        <v>143.5</v>
      </c>
    </row>
    <row r="129" spans="1:14" ht="19">
      <c r="A129" s="79" t="s">
        <v>164</v>
      </c>
      <c r="B129" s="80">
        <v>0</v>
      </c>
      <c r="C129" s="80">
        <v>0</v>
      </c>
      <c r="D129" s="80">
        <v>200</v>
      </c>
      <c r="E129" s="80">
        <v>0</v>
      </c>
      <c r="F129" s="80">
        <v>0</v>
      </c>
      <c r="G129" s="80">
        <v>0</v>
      </c>
      <c r="H129" s="80"/>
      <c r="I129" s="80"/>
      <c r="J129" s="80">
        <v>350</v>
      </c>
      <c r="K129" s="80"/>
      <c r="L129" s="80"/>
      <c r="M129" s="80"/>
    </row>
    <row r="130" spans="1:14" ht="19">
      <c r="A130" s="79"/>
      <c r="B130" s="80">
        <v>0</v>
      </c>
      <c r="C130" s="80">
        <v>0</v>
      </c>
      <c r="D130" s="80">
        <v>0</v>
      </c>
      <c r="E130" s="80">
        <v>0</v>
      </c>
      <c r="F130" s="80">
        <v>0</v>
      </c>
      <c r="G130" s="80">
        <v>0</v>
      </c>
      <c r="H130" s="80"/>
      <c r="I130" s="80"/>
      <c r="J130" s="80"/>
      <c r="K130" s="80"/>
      <c r="L130" s="80"/>
      <c r="M130" s="80"/>
    </row>
    <row r="131" spans="1:14" ht="19">
      <c r="A131" s="79" t="s">
        <v>165</v>
      </c>
      <c r="B131" s="80">
        <v>0</v>
      </c>
      <c r="C131" s="80">
        <v>0</v>
      </c>
      <c r="D131" s="80">
        <v>0</v>
      </c>
      <c r="E131" s="80">
        <v>0</v>
      </c>
      <c r="F131" s="80">
        <v>1209.9000000000001</v>
      </c>
      <c r="G131" s="80">
        <v>748.16</v>
      </c>
      <c r="H131" s="80"/>
      <c r="I131" s="80"/>
      <c r="J131" s="80"/>
      <c r="K131" s="80"/>
      <c r="L131" s="80"/>
      <c r="M131" s="80"/>
    </row>
    <row r="132" spans="1:14" ht="19">
      <c r="A132" s="79" t="s">
        <v>166</v>
      </c>
      <c r="B132" s="80">
        <v>0</v>
      </c>
      <c r="C132" s="80">
        <v>0</v>
      </c>
      <c r="D132" s="80">
        <v>0</v>
      </c>
      <c r="E132" s="80">
        <v>100</v>
      </c>
      <c r="F132" s="80">
        <v>100.94</v>
      </c>
      <c r="G132" s="80">
        <v>133.5</v>
      </c>
      <c r="H132" s="80">
        <v>107.7</v>
      </c>
      <c r="I132" s="80">
        <v>93.82</v>
      </c>
      <c r="J132" s="80">
        <v>78.55</v>
      </c>
      <c r="K132" s="80"/>
      <c r="L132" s="80">
        <v>41.76</v>
      </c>
      <c r="M132" s="80">
        <v>54.9</v>
      </c>
    </row>
    <row r="133" spans="1:14" ht="19">
      <c r="A133" s="79" t="s">
        <v>167</v>
      </c>
      <c r="B133" s="80">
        <v>0</v>
      </c>
      <c r="C133" s="80">
        <v>0</v>
      </c>
      <c r="D133" s="80">
        <v>0</v>
      </c>
      <c r="E133" s="80">
        <v>500</v>
      </c>
      <c r="F133" s="80">
        <v>658.77</v>
      </c>
      <c r="G133" s="80">
        <v>615.45000000000005</v>
      </c>
      <c r="H133" s="80">
        <v>742.43</v>
      </c>
      <c r="I133" s="80">
        <v>222.89</v>
      </c>
      <c r="J133" s="80">
        <v>635.34</v>
      </c>
      <c r="K133" s="80">
        <v>565.98</v>
      </c>
      <c r="L133" s="80">
        <v>801.11</v>
      </c>
      <c r="M133" s="80">
        <v>542.36</v>
      </c>
    </row>
    <row r="134" spans="1:14" ht="20">
      <c r="A134" s="87" t="s">
        <v>168</v>
      </c>
      <c r="B134" s="85">
        <f>SUM(B121:B133)</f>
        <v>3934</v>
      </c>
      <c r="C134" s="85">
        <f t="shared" ref="C134:M134" si="16">SUM(C121:C133)</f>
        <v>3934</v>
      </c>
      <c r="D134" s="85">
        <f t="shared" si="16"/>
        <v>8243.5</v>
      </c>
      <c r="E134" s="85">
        <f t="shared" si="16"/>
        <v>8438</v>
      </c>
      <c r="F134" s="85">
        <f t="shared" si="16"/>
        <v>9163.61</v>
      </c>
      <c r="G134" s="85">
        <f t="shared" si="16"/>
        <v>8947.51</v>
      </c>
      <c r="H134" s="85">
        <f t="shared" si="16"/>
        <v>10074.76</v>
      </c>
      <c r="I134" s="85">
        <f t="shared" si="16"/>
        <v>7900.0000000000009</v>
      </c>
      <c r="J134" s="85">
        <f t="shared" si="16"/>
        <v>9593.65</v>
      </c>
      <c r="K134" s="85">
        <f t="shared" si="16"/>
        <v>8205.5300000000007</v>
      </c>
      <c r="L134" s="85">
        <f t="shared" si="16"/>
        <v>10541.76</v>
      </c>
      <c r="M134" s="85">
        <f t="shared" si="16"/>
        <v>8676.9500000000007</v>
      </c>
      <c r="N134" s="85">
        <f>SUM(B134:M134)</f>
        <v>97653.26999999999</v>
      </c>
    </row>
    <row r="135" spans="1:14" ht="19">
      <c r="A135" s="82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</row>
    <row r="136" spans="1:14" ht="19">
      <c r="A136" s="89" t="s">
        <v>169</v>
      </c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</row>
    <row r="137" spans="1:14" ht="20">
      <c r="A137" s="82" t="s">
        <v>156</v>
      </c>
      <c r="B137" s="80">
        <v>2824</v>
      </c>
      <c r="C137" s="80">
        <v>2824</v>
      </c>
      <c r="D137" s="80">
        <v>3036</v>
      </c>
      <c r="E137" s="80">
        <v>3036</v>
      </c>
      <c r="F137" s="80">
        <v>3036</v>
      </c>
      <c r="G137" s="80">
        <v>3036</v>
      </c>
      <c r="H137" s="80">
        <v>3036</v>
      </c>
      <c r="I137" s="80">
        <v>3036</v>
      </c>
      <c r="J137" s="80">
        <v>3036</v>
      </c>
      <c r="K137" s="80">
        <v>3036</v>
      </c>
      <c r="L137" s="80">
        <v>5674</v>
      </c>
      <c r="M137" s="80">
        <v>3036</v>
      </c>
    </row>
    <row r="138" spans="1:14" ht="20">
      <c r="A138" s="82" t="s">
        <v>157</v>
      </c>
      <c r="B138" s="80">
        <v>250</v>
      </c>
      <c r="C138" s="80">
        <v>250</v>
      </c>
      <c r="D138" s="80">
        <v>250</v>
      </c>
      <c r="E138" s="80">
        <v>250</v>
      </c>
      <c r="F138" s="80">
        <v>250</v>
      </c>
      <c r="G138" s="80">
        <v>250</v>
      </c>
      <c r="H138" s="80">
        <v>250</v>
      </c>
      <c r="I138" s="80">
        <v>250</v>
      </c>
      <c r="J138" s="80">
        <v>250</v>
      </c>
      <c r="K138" s="80">
        <v>250</v>
      </c>
      <c r="L138" s="80">
        <v>250</v>
      </c>
      <c r="M138" s="80">
        <v>250</v>
      </c>
    </row>
    <row r="139" spans="1:14" ht="20">
      <c r="A139" s="82" t="s">
        <v>158</v>
      </c>
      <c r="B139" s="80">
        <v>870</v>
      </c>
      <c r="C139" s="80">
        <v>870</v>
      </c>
      <c r="D139" s="80">
        <v>870</v>
      </c>
      <c r="E139" s="80">
        <v>870</v>
      </c>
      <c r="F139" s="80">
        <v>870</v>
      </c>
      <c r="G139" s="80">
        <v>870</v>
      </c>
      <c r="H139" s="80">
        <v>870</v>
      </c>
      <c r="I139" s="80">
        <v>870</v>
      </c>
      <c r="J139" s="80">
        <v>870</v>
      </c>
      <c r="K139" s="80">
        <v>870</v>
      </c>
      <c r="L139" s="80">
        <v>870</v>
      </c>
      <c r="M139" s="80">
        <v>894</v>
      </c>
    </row>
    <row r="140" spans="1:14" ht="20">
      <c r="A140" s="82" t="s">
        <v>159</v>
      </c>
      <c r="B140" s="80">
        <v>1050</v>
      </c>
      <c r="C140" s="80">
        <v>1050</v>
      </c>
      <c r="D140" s="80">
        <v>1050</v>
      </c>
      <c r="E140" s="80">
        <v>1050</v>
      </c>
      <c r="F140" s="80">
        <v>1050</v>
      </c>
      <c r="G140" s="80">
        <v>1050</v>
      </c>
      <c r="H140" s="80">
        <v>1050</v>
      </c>
      <c r="I140" s="80">
        <v>1050</v>
      </c>
      <c r="J140" s="80">
        <v>1050</v>
      </c>
      <c r="K140" s="80">
        <v>1050</v>
      </c>
      <c r="L140" s="80">
        <v>1050</v>
      </c>
      <c r="M140" s="80">
        <v>1050</v>
      </c>
    </row>
    <row r="141" spans="1:14" ht="20">
      <c r="A141" s="82" t="s">
        <v>170</v>
      </c>
      <c r="B141" s="80">
        <v>0</v>
      </c>
      <c r="C141" s="80">
        <v>0</v>
      </c>
      <c r="D141" s="80">
        <v>1400</v>
      </c>
      <c r="E141" s="80">
        <v>1400</v>
      </c>
      <c r="F141" s="80">
        <v>1400</v>
      </c>
      <c r="G141" s="80">
        <v>1400</v>
      </c>
      <c r="H141" s="80">
        <v>1400</v>
      </c>
      <c r="I141" s="80">
        <v>1400</v>
      </c>
      <c r="J141" s="80">
        <v>1400</v>
      </c>
      <c r="K141" s="80">
        <v>1400</v>
      </c>
      <c r="L141" s="80">
        <v>1400</v>
      </c>
      <c r="M141" s="80">
        <v>1400</v>
      </c>
    </row>
    <row r="142" spans="1:14" ht="20">
      <c r="A142" s="82" t="s">
        <v>171</v>
      </c>
      <c r="B142" s="80">
        <v>0</v>
      </c>
      <c r="C142" s="80">
        <v>0</v>
      </c>
      <c r="D142" s="80">
        <v>150</v>
      </c>
      <c r="E142" s="80">
        <v>150</v>
      </c>
      <c r="F142" s="80">
        <v>150</v>
      </c>
      <c r="G142" s="80">
        <v>150</v>
      </c>
      <c r="H142" s="80">
        <v>150</v>
      </c>
      <c r="I142" s="80">
        <v>150</v>
      </c>
      <c r="J142" s="80">
        <v>150</v>
      </c>
      <c r="K142" s="80">
        <v>150</v>
      </c>
      <c r="L142" s="80">
        <v>150</v>
      </c>
      <c r="M142" s="80">
        <v>150</v>
      </c>
    </row>
    <row r="143" spans="1:14" ht="20">
      <c r="A143" s="82" t="s">
        <v>172</v>
      </c>
      <c r="B143" s="80">
        <v>0</v>
      </c>
      <c r="C143" s="80">
        <v>0</v>
      </c>
      <c r="D143" s="80">
        <v>688</v>
      </c>
      <c r="E143" s="80">
        <v>688</v>
      </c>
      <c r="F143" s="80">
        <v>688</v>
      </c>
      <c r="G143" s="80">
        <v>688</v>
      </c>
      <c r="H143" s="80">
        <v>688</v>
      </c>
      <c r="I143" s="80">
        <v>688</v>
      </c>
      <c r="J143" s="80">
        <v>688</v>
      </c>
      <c r="K143" s="80">
        <v>688</v>
      </c>
      <c r="L143" s="80">
        <v>688</v>
      </c>
      <c r="M143" s="80">
        <v>688</v>
      </c>
    </row>
    <row r="144" spans="1:14" ht="20">
      <c r="A144" s="82" t="s">
        <v>173</v>
      </c>
      <c r="B144" s="80">
        <v>0</v>
      </c>
      <c r="C144" s="80">
        <v>0</v>
      </c>
      <c r="D144" s="80">
        <v>200</v>
      </c>
      <c r="E144" s="80">
        <v>200</v>
      </c>
      <c r="F144" s="80">
        <v>200</v>
      </c>
      <c r="G144" s="80">
        <v>200</v>
      </c>
      <c r="H144" s="80">
        <v>200</v>
      </c>
      <c r="I144" s="80">
        <v>200</v>
      </c>
      <c r="J144" s="80">
        <v>200</v>
      </c>
      <c r="K144" s="80">
        <v>200</v>
      </c>
      <c r="L144" s="80">
        <v>200</v>
      </c>
      <c r="M144" s="80">
        <v>200</v>
      </c>
    </row>
    <row r="145" spans="1:14" ht="20">
      <c r="A145" s="82" t="s">
        <v>174</v>
      </c>
      <c r="B145" s="80">
        <v>0</v>
      </c>
      <c r="C145" s="80">
        <v>0</v>
      </c>
      <c r="D145" s="80">
        <v>0</v>
      </c>
      <c r="E145" s="80">
        <v>0</v>
      </c>
      <c r="F145" s="80">
        <v>200</v>
      </c>
      <c r="G145" s="80">
        <v>200</v>
      </c>
      <c r="H145" s="80">
        <v>200</v>
      </c>
      <c r="I145" s="80">
        <v>200</v>
      </c>
      <c r="J145" s="80">
        <v>200</v>
      </c>
      <c r="K145" s="80">
        <v>200</v>
      </c>
      <c r="L145" s="80">
        <v>200</v>
      </c>
      <c r="M145" s="80">
        <v>200</v>
      </c>
    </row>
    <row r="146" spans="1:14" ht="20">
      <c r="A146" s="83" t="s">
        <v>175</v>
      </c>
      <c r="B146" s="85">
        <f>SUM(B137:B145)</f>
        <v>4994</v>
      </c>
      <c r="C146" s="85">
        <f t="shared" ref="C146:L146" si="17">SUM(C137:C145)</f>
        <v>4994</v>
      </c>
      <c r="D146" s="85">
        <f t="shared" si="17"/>
        <v>7644</v>
      </c>
      <c r="E146" s="85">
        <f t="shared" si="17"/>
        <v>7644</v>
      </c>
      <c r="F146" s="85">
        <f t="shared" si="17"/>
        <v>7844</v>
      </c>
      <c r="G146" s="85">
        <f t="shared" si="17"/>
        <v>7844</v>
      </c>
      <c r="H146" s="85">
        <f t="shared" si="17"/>
        <v>7844</v>
      </c>
      <c r="I146" s="85">
        <f t="shared" si="17"/>
        <v>7844</v>
      </c>
      <c r="J146" s="85">
        <f t="shared" si="17"/>
        <v>7844</v>
      </c>
      <c r="K146" s="85">
        <f t="shared" si="17"/>
        <v>7844</v>
      </c>
      <c r="L146" s="85">
        <f t="shared" si="17"/>
        <v>10482</v>
      </c>
      <c r="M146" s="85">
        <f>SUM(M137:M145)</f>
        <v>7868</v>
      </c>
      <c r="N146" s="85">
        <f>SUM(B146:M146)</f>
        <v>90690</v>
      </c>
    </row>
    <row r="147" spans="1:14" s="72" customFormat="1" ht="20">
      <c r="A147" s="83" t="s">
        <v>176</v>
      </c>
      <c r="B147" s="85">
        <f>SUM(B92+B105+B118+B134+B146)</f>
        <v>83357.76999999999</v>
      </c>
      <c r="C147" s="85">
        <f t="shared" ref="C147:M147" si="18">SUM(C92+C105+C118+C134+C146)</f>
        <v>73397.279999999999</v>
      </c>
      <c r="D147" s="85">
        <f t="shared" si="18"/>
        <v>96242.83</v>
      </c>
      <c r="E147" s="85">
        <f t="shared" si="18"/>
        <v>90868.640000000014</v>
      </c>
      <c r="F147" s="85">
        <f t="shared" si="18"/>
        <v>90988.130000000019</v>
      </c>
      <c r="G147" s="85">
        <f t="shared" si="18"/>
        <v>94165.98</v>
      </c>
      <c r="H147" s="85">
        <f t="shared" si="18"/>
        <v>92057.819999999992</v>
      </c>
      <c r="I147" s="85">
        <f t="shared" si="18"/>
        <v>89713.299999999988</v>
      </c>
      <c r="J147" s="85">
        <f t="shared" si="18"/>
        <v>99484.64</v>
      </c>
      <c r="K147" s="85">
        <f t="shared" si="18"/>
        <v>90202.12</v>
      </c>
      <c r="L147" s="85">
        <f t="shared" si="18"/>
        <v>113612.89</v>
      </c>
      <c r="M147" s="85">
        <f t="shared" si="18"/>
        <v>105699.2</v>
      </c>
      <c r="N147" s="86">
        <f>SUM(B147:M147)</f>
        <v>1119790.6000000001</v>
      </c>
    </row>
    <row r="149" spans="1:14" ht="22">
      <c r="A149" s="76" t="s">
        <v>177</v>
      </c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</row>
    <row r="150" spans="1:14" ht="19">
      <c r="A150" s="92" t="s">
        <v>178</v>
      </c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</row>
    <row r="151" spans="1:14" ht="20">
      <c r="A151" s="94" t="s">
        <v>179</v>
      </c>
      <c r="B151" s="95"/>
      <c r="C151" s="95"/>
      <c r="D151" s="95">
        <v>2000</v>
      </c>
      <c r="E151" s="95"/>
      <c r="F151" s="95"/>
      <c r="G151" s="95"/>
      <c r="H151" s="95"/>
      <c r="I151" s="95"/>
      <c r="J151" s="95"/>
      <c r="K151" s="95"/>
      <c r="L151" s="95"/>
      <c r="M151" s="95"/>
    </row>
    <row r="152" spans="1:14" ht="20">
      <c r="A152" s="94" t="s">
        <v>61</v>
      </c>
      <c r="B152" s="95">
        <v>365</v>
      </c>
      <c r="C152" s="95">
        <v>365</v>
      </c>
      <c r="D152" s="95">
        <v>379.6</v>
      </c>
      <c r="E152" s="95">
        <v>379.6</v>
      </c>
      <c r="F152" s="95">
        <v>379.6</v>
      </c>
      <c r="G152" s="95">
        <v>379.6</v>
      </c>
      <c r="H152" s="95">
        <v>379.6</v>
      </c>
      <c r="I152" s="95">
        <v>379.6</v>
      </c>
      <c r="J152" s="95">
        <v>379.6</v>
      </c>
      <c r="K152" s="95">
        <v>379.6</v>
      </c>
      <c r="L152" s="95">
        <v>379.6</v>
      </c>
      <c r="M152" s="95">
        <v>379.6</v>
      </c>
      <c r="N152" s="96"/>
    </row>
    <row r="153" spans="1:14" ht="20">
      <c r="A153" s="94" t="s">
        <v>180</v>
      </c>
      <c r="B153" s="95">
        <v>525.03</v>
      </c>
      <c r="C153" s="95">
        <v>525.03</v>
      </c>
      <c r="D153" s="95">
        <v>525.03</v>
      </c>
      <c r="E153" s="95">
        <v>525.03</v>
      </c>
      <c r="F153" s="95">
        <v>525.05999999999995</v>
      </c>
      <c r="G153" s="95">
        <v>585.41</v>
      </c>
      <c r="H153" s="95">
        <v>585.41</v>
      </c>
      <c r="I153" s="95">
        <v>585.41</v>
      </c>
      <c r="J153" s="95">
        <v>585.41</v>
      </c>
      <c r="K153" s="95">
        <v>585.41</v>
      </c>
      <c r="L153" s="95">
        <v>585.41</v>
      </c>
      <c r="M153" s="95">
        <v>585.41</v>
      </c>
      <c r="N153" s="96"/>
    </row>
    <row r="154" spans="1:14" ht="20">
      <c r="A154" s="94" t="s">
        <v>181</v>
      </c>
      <c r="B154" s="95">
        <v>2860.57</v>
      </c>
      <c r="C154" s="95">
        <v>2865.99</v>
      </c>
      <c r="D154" s="95">
        <v>2967.89</v>
      </c>
      <c r="E154" s="95">
        <v>1967.89</v>
      </c>
      <c r="F154" s="95">
        <v>2983.79</v>
      </c>
      <c r="G154" s="95">
        <v>1983.79</v>
      </c>
      <c r="H154" s="95">
        <v>2983.79</v>
      </c>
      <c r="I154" s="95">
        <v>2983.79</v>
      </c>
      <c r="J154" s="95">
        <v>2983.79</v>
      </c>
      <c r="K154" s="95">
        <v>2983.79</v>
      </c>
      <c r="L154" s="95">
        <v>2983.79</v>
      </c>
      <c r="M154" s="95">
        <v>2983.79</v>
      </c>
      <c r="N154" s="96"/>
    </row>
    <row r="155" spans="1:14" ht="20">
      <c r="A155" s="94" t="s">
        <v>182</v>
      </c>
      <c r="B155" s="95">
        <v>578.6</v>
      </c>
      <c r="C155" s="95">
        <v>578.6</v>
      </c>
      <c r="D155" s="95">
        <v>601.12</v>
      </c>
      <c r="E155" s="95">
        <v>601.12</v>
      </c>
      <c r="F155" s="95">
        <v>601.12</v>
      </c>
      <c r="G155" s="95">
        <v>601.12</v>
      </c>
      <c r="H155" s="95">
        <v>601.12</v>
      </c>
      <c r="I155" s="95">
        <v>601.12</v>
      </c>
      <c r="J155" s="95">
        <v>601.12</v>
      </c>
      <c r="K155" s="95">
        <v>601.12</v>
      </c>
      <c r="L155" s="95">
        <v>601.12</v>
      </c>
      <c r="M155" s="95">
        <v>601.12</v>
      </c>
    </row>
    <row r="156" spans="1:14" ht="20">
      <c r="A156" s="94" t="s">
        <v>147</v>
      </c>
      <c r="B156" s="95">
        <v>0</v>
      </c>
      <c r="C156" s="95">
        <v>0</v>
      </c>
      <c r="D156" s="95">
        <v>0</v>
      </c>
      <c r="E156" s="95">
        <v>0</v>
      </c>
      <c r="F156" s="95"/>
      <c r="G156" s="95"/>
      <c r="H156" s="95"/>
      <c r="I156" s="95"/>
      <c r="J156" s="95"/>
      <c r="K156" s="95">
        <v>3798.16</v>
      </c>
      <c r="L156" s="95"/>
      <c r="M156" s="95"/>
    </row>
    <row r="157" spans="1:14" ht="20">
      <c r="A157" s="94" t="s">
        <v>146</v>
      </c>
      <c r="B157" s="95">
        <v>0</v>
      </c>
      <c r="C157" s="95">
        <v>0</v>
      </c>
      <c r="D157" s="95">
        <v>0</v>
      </c>
      <c r="E157" s="95">
        <v>0</v>
      </c>
      <c r="F157" s="95"/>
      <c r="G157" s="95"/>
      <c r="H157" s="95"/>
      <c r="I157" s="95"/>
      <c r="J157" s="95"/>
      <c r="K157" s="95"/>
      <c r="L157" s="95">
        <v>1645.65</v>
      </c>
      <c r="M157" s="95">
        <v>1338.14</v>
      </c>
    </row>
    <row r="158" spans="1:14" ht="20">
      <c r="A158" s="97" t="s">
        <v>183</v>
      </c>
      <c r="B158" s="80"/>
      <c r="C158" s="80"/>
      <c r="D158" s="80"/>
      <c r="E158" s="95"/>
      <c r="F158" s="95"/>
      <c r="G158" s="95"/>
      <c r="H158" s="95"/>
      <c r="I158" s="95"/>
      <c r="J158" s="95"/>
      <c r="K158" s="95"/>
      <c r="L158" s="95"/>
      <c r="M158" s="95"/>
    </row>
    <row r="159" spans="1:14" ht="19">
      <c r="A159" s="98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</row>
    <row r="160" spans="1:14" ht="19">
      <c r="A160" s="99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</row>
    <row r="161" spans="1:13" ht="19">
      <c r="A161" s="100" t="s">
        <v>184</v>
      </c>
      <c r="B161" s="95">
        <v>0</v>
      </c>
      <c r="C161" s="95">
        <v>0</v>
      </c>
      <c r="D161" s="95">
        <v>0</v>
      </c>
      <c r="E161" s="95">
        <v>0</v>
      </c>
      <c r="F161" s="95">
        <v>0</v>
      </c>
      <c r="G161" s="95">
        <v>500</v>
      </c>
      <c r="H161" s="95"/>
      <c r="I161" s="95"/>
      <c r="J161" s="95"/>
      <c r="K161" s="95"/>
      <c r="L161" s="95"/>
      <c r="M161" s="95"/>
    </row>
    <row r="162" spans="1:13" ht="20">
      <c r="A162" s="94" t="s">
        <v>179</v>
      </c>
      <c r="B162" s="95">
        <v>365</v>
      </c>
      <c r="C162" s="95">
        <v>365</v>
      </c>
      <c r="D162" s="95">
        <v>379.6</v>
      </c>
      <c r="E162" s="95">
        <v>379.6</v>
      </c>
      <c r="F162" s="95">
        <v>379.6</v>
      </c>
      <c r="G162" s="95">
        <v>379.6</v>
      </c>
      <c r="H162" s="95">
        <v>379.6</v>
      </c>
      <c r="I162" s="95">
        <v>379.6</v>
      </c>
      <c r="J162" s="95">
        <v>379.6</v>
      </c>
      <c r="K162" s="95">
        <v>379.6</v>
      </c>
      <c r="L162" s="95"/>
      <c r="M162" s="95"/>
    </row>
    <row r="163" spans="1:13" ht="20">
      <c r="A163" s="94" t="s">
        <v>61</v>
      </c>
      <c r="B163" s="95">
        <v>525.03</v>
      </c>
      <c r="C163" s="95">
        <v>525.03</v>
      </c>
      <c r="D163" s="95">
        <v>525.03</v>
      </c>
      <c r="E163" s="95">
        <v>525.03</v>
      </c>
      <c r="F163" s="95">
        <v>525.03</v>
      </c>
      <c r="G163" s="95">
        <v>585.41</v>
      </c>
      <c r="H163" s="95">
        <v>585.41</v>
      </c>
      <c r="I163" s="95">
        <v>585.41</v>
      </c>
      <c r="J163" s="95">
        <v>585.41</v>
      </c>
      <c r="K163" s="95">
        <v>585.41</v>
      </c>
      <c r="L163" s="95"/>
      <c r="M163" s="95"/>
    </row>
    <row r="164" spans="1:13" ht="20">
      <c r="A164" s="94" t="s">
        <v>180</v>
      </c>
      <c r="B164" s="95">
        <v>391.81</v>
      </c>
      <c r="C164" s="95">
        <v>2393.4</v>
      </c>
      <c r="D164" s="95">
        <v>810.79</v>
      </c>
      <c r="E164" s="95">
        <v>2488.6</v>
      </c>
      <c r="F164" s="95">
        <v>2488.6</v>
      </c>
      <c r="G164" s="95">
        <v>2488.6</v>
      </c>
      <c r="H164" s="95">
        <v>2488.6</v>
      </c>
      <c r="I164" s="95">
        <v>2488.6</v>
      </c>
      <c r="J164" s="95">
        <v>2538.02</v>
      </c>
      <c r="K164" s="95">
        <v>1988.6</v>
      </c>
      <c r="L164" s="95"/>
      <c r="M164" s="95"/>
    </row>
    <row r="165" spans="1:13" ht="20">
      <c r="A165" s="94" t="s">
        <v>185</v>
      </c>
      <c r="B165" s="95">
        <v>578.6</v>
      </c>
      <c r="C165" s="95">
        <v>578.6</v>
      </c>
      <c r="D165" s="95">
        <v>601.12</v>
      </c>
      <c r="E165" s="95">
        <v>601.12</v>
      </c>
      <c r="F165" s="95">
        <v>601.12</v>
      </c>
      <c r="G165" s="95">
        <v>601.12</v>
      </c>
      <c r="H165" s="95">
        <v>601.12</v>
      </c>
      <c r="I165" s="95">
        <v>601.12</v>
      </c>
      <c r="J165" s="95">
        <v>601.12</v>
      </c>
      <c r="K165" s="95">
        <v>601.12</v>
      </c>
      <c r="L165" s="95"/>
      <c r="M165" s="95"/>
    </row>
    <row r="166" spans="1:13" ht="20">
      <c r="A166" s="94" t="s">
        <v>186</v>
      </c>
      <c r="B166" s="95">
        <v>233.2</v>
      </c>
      <c r="C166" s="95">
        <v>264</v>
      </c>
      <c r="D166" s="95">
        <v>528</v>
      </c>
      <c r="E166" s="95">
        <v>0</v>
      </c>
      <c r="F166" s="95">
        <v>528</v>
      </c>
      <c r="G166" s="95">
        <v>0</v>
      </c>
      <c r="H166" s="95"/>
      <c r="I166" s="95">
        <v>242</v>
      </c>
      <c r="J166" s="95">
        <v>242</v>
      </c>
      <c r="K166" s="95">
        <v>566</v>
      </c>
      <c r="L166" s="95"/>
      <c r="M166" s="95"/>
    </row>
    <row r="167" spans="1:13" ht="20">
      <c r="A167" s="94" t="s">
        <v>187</v>
      </c>
      <c r="B167" s="95">
        <v>3286.22</v>
      </c>
      <c r="C167" s="95">
        <v>0</v>
      </c>
      <c r="D167" s="95">
        <v>0</v>
      </c>
      <c r="E167" s="95">
        <v>0</v>
      </c>
      <c r="F167" s="95">
        <v>0</v>
      </c>
      <c r="G167" s="95">
        <v>0</v>
      </c>
      <c r="H167" s="95"/>
      <c r="I167" s="95"/>
      <c r="J167" s="95"/>
      <c r="K167" s="95"/>
      <c r="L167" s="95"/>
      <c r="M167" s="95"/>
    </row>
    <row r="168" spans="1:13" ht="20">
      <c r="A168" s="94" t="s">
        <v>188</v>
      </c>
      <c r="B168" s="95"/>
      <c r="C168" s="95"/>
      <c r="D168" s="95"/>
      <c r="E168" s="95"/>
      <c r="F168" s="95"/>
      <c r="G168" s="95"/>
      <c r="H168" s="95"/>
      <c r="I168" s="95"/>
      <c r="J168" s="95"/>
      <c r="K168" s="95">
        <v>5097.08</v>
      </c>
      <c r="L168" s="95"/>
      <c r="M168" s="95"/>
    </row>
    <row r="169" spans="1:13" ht="20">
      <c r="A169" s="94" t="s">
        <v>147</v>
      </c>
      <c r="B169" s="95">
        <v>1302.54</v>
      </c>
      <c r="C169" s="95">
        <v>0</v>
      </c>
      <c r="D169" s="95">
        <v>0</v>
      </c>
      <c r="E169" s="95">
        <v>0</v>
      </c>
      <c r="F169" s="95">
        <v>0</v>
      </c>
      <c r="G169" s="95">
        <v>0</v>
      </c>
      <c r="H169" s="95"/>
      <c r="I169" s="95"/>
      <c r="J169" s="95"/>
      <c r="K169" s="95"/>
      <c r="L169" s="95"/>
      <c r="M169" s="95"/>
    </row>
    <row r="170" spans="1:13" ht="20">
      <c r="A170" s="94" t="s">
        <v>146</v>
      </c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</row>
    <row r="171" spans="1:13" ht="20">
      <c r="A171" s="97" t="s">
        <v>189</v>
      </c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</row>
    <row r="172" spans="1:13" ht="19">
      <c r="A172" s="99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</row>
    <row r="173" spans="1:13" ht="19">
      <c r="A173" s="100" t="s">
        <v>190</v>
      </c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>
        <v>379.6</v>
      </c>
      <c r="M173" s="95">
        <v>379.6</v>
      </c>
    </row>
    <row r="174" spans="1:13" ht="20">
      <c r="A174" s="94" t="s">
        <v>61</v>
      </c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95">
        <v>585.41</v>
      </c>
      <c r="M174" s="95">
        <v>585.41</v>
      </c>
    </row>
    <row r="175" spans="1:13" ht="20">
      <c r="A175" s="94" t="s">
        <v>180</v>
      </c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95">
        <v>3886.49</v>
      </c>
      <c r="M175" s="95">
        <v>3511.84</v>
      </c>
    </row>
    <row r="176" spans="1:13" ht="20">
      <c r="A176" s="94" t="s">
        <v>185</v>
      </c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95">
        <v>601.12</v>
      </c>
      <c r="M176" s="95">
        <v>601.12</v>
      </c>
    </row>
    <row r="177" spans="1:14" ht="20">
      <c r="A177" s="94" t="s">
        <v>186</v>
      </c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</row>
    <row r="178" spans="1:14" ht="20">
      <c r="A178" s="94" t="s">
        <v>146</v>
      </c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95">
        <v>500</v>
      </c>
      <c r="M178" s="95">
        <v>425</v>
      </c>
    </row>
    <row r="179" spans="1:14" ht="19">
      <c r="A179" s="98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</row>
    <row r="180" spans="1:14" ht="19">
      <c r="A180" s="98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</row>
    <row r="181" spans="1:14" ht="20">
      <c r="A181" s="97" t="s">
        <v>191</v>
      </c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</row>
    <row r="182" spans="1:14" ht="19">
      <c r="A182" s="94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</row>
    <row r="183" spans="1:14" ht="20">
      <c r="A183" s="94" t="s">
        <v>192</v>
      </c>
      <c r="B183" s="95">
        <v>2540</v>
      </c>
      <c r="C183" s="95">
        <v>2540</v>
      </c>
      <c r="D183" s="95">
        <v>2667</v>
      </c>
      <c r="E183" s="95">
        <v>2667</v>
      </c>
      <c r="F183" s="95">
        <v>2667</v>
      </c>
      <c r="G183" s="95">
        <v>2667</v>
      </c>
      <c r="H183" s="95">
        <v>2667</v>
      </c>
      <c r="I183" s="95">
        <v>2667</v>
      </c>
      <c r="J183" s="95">
        <v>2667</v>
      </c>
      <c r="K183" s="95">
        <v>2667</v>
      </c>
      <c r="L183" s="95">
        <v>2667</v>
      </c>
      <c r="M183" s="95">
        <v>2667</v>
      </c>
    </row>
    <row r="184" spans="1:14" ht="19">
      <c r="A184" s="101" t="s">
        <v>193</v>
      </c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96"/>
    </row>
    <row r="188" spans="1:14" ht="20">
      <c r="A188" s="82" t="s">
        <v>194</v>
      </c>
      <c r="B188" s="80">
        <v>6244.01</v>
      </c>
      <c r="C188" s="80">
        <v>4742.01</v>
      </c>
      <c r="D188" s="80">
        <v>4356.01</v>
      </c>
      <c r="E188" s="80">
        <v>5242.01</v>
      </c>
      <c r="F188" s="80">
        <v>4504.01</v>
      </c>
      <c r="G188" s="80">
        <v>4503.01</v>
      </c>
      <c r="H188" s="69">
        <v>7622.01</v>
      </c>
      <c r="I188" s="69">
        <v>4921.01</v>
      </c>
      <c r="J188" s="69">
        <v>6428.68</v>
      </c>
      <c r="K188" s="69">
        <v>4218.01</v>
      </c>
      <c r="L188" s="69">
        <v>6510.01</v>
      </c>
      <c r="M188" s="69">
        <v>7088.23</v>
      </c>
    </row>
    <row r="189" spans="1:14" ht="20">
      <c r="A189" s="82" t="s">
        <v>195</v>
      </c>
      <c r="B189" s="80">
        <v>20815.77</v>
      </c>
      <c r="C189" s="80">
        <v>15707.74</v>
      </c>
      <c r="D189" s="80">
        <v>15122.3</v>
      </c>
      <c r="E189" s="80">
        <v>17474.55</v>
      </c>
      <c r="F189" s="80">
        <v>15379.34</v>
      </c>
      <c r="G189" s="80">
        <v>15011.13</v>
      </c>
      <c r="H189" s="69">
        <v>25407.53</v>
      </c>
      <c r="I189" s="69">
        <v>16404.669999999998</v>
      </c>
      <c r="J189" s="69">
        <v>21428.95</v>
      </c>
      <c r="K189" s="69">
        <v>14060.41</v>
      </c>
      <c r="L189" s="69">
        <v>21699.25</v>
      </c>
      <c r="M189" s="69">
        <v>23627.43</v>
      </c>
    </row>
    <row r="190" spans="1:14" ht="20">
      <c r="A190" s="102" t="s">
        <v>196</v>
      </c>
      <c r="B190" s="81">
        <f>SUM(B188:B189)</f>
        <v>27059.78</v>
      </c>
      <c r="C190" s="81">
        <f t="shared" ref="C190:M190" si="19">SUM(C188:C189)</f>
        <v>20449.75</v>
      </c>
      <c r="D190" s="81">
        <f t="shared" si="19"/>
        <v>19478.309999999998</v>
      </c>
      <c r="E190" s="81">
        <f t="shared" si="19"/>
        <v>22716.559999999998</v>
      </c>
      <c r="F190" s="81">
        <f t="shared" si="19"/>
        <v>19883.349999999999</v>
      </c>
      <c r="G190" s="81">
        <f t="shared" si="19"/>
        <v>19514.14</v>
      </c>
      <c r="H190" s="81">
        <f t="shared" si="19"/>
        <v>33029.54</v>
      </c>
      <c r="I190" s="81">
        <f t="shared" si="19"/>
        <v>21325.68</v>
      </c>
      <c r="J190" s="81">
        <f t="shared" si="19"/>
        <v>27857.63</v>
      </c>
      <c r="K190" s="81">
        <f t="shared" si="19"/>
        <v>18278.419999999998</v>
      </c>
      <c r="L190" s="81">
        <f t="shared" si="19"/>
        <v>28209.260000000002</v>
      </c>
      <c r="M190" s="81">
        <f t="shared" si="19"/>
        <v>30715.66</v>
      </c>
    </row>
    <row r="215" spans="1:14" ht="20">
      <c r="A215" s="82" t="s">
        <v>197</v>
      </c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1"/>
    </row>
    <row r="216" spans="1:14" ht="20">
      <c r="A216" s="82" t="s">
        <v>198</v>
      </c>
      <c r="B216" s="80">
        <v>0</v>
      </c>
      <c r="C216" s="80">
        <v>0</v>
      </c>
      <c r="D216" s="80">
        <v>0</v>
      </c>
      <c r="E216" s="80">
        <v>0</v>
      </c>
      <c r="F216" s="80">
        <v>0</v>
      </c>
      <c r="G216" s="80">
        <v>0</v>
      </c>
      <c r="H216" s="80"/>
      <c r="I216" s="80"/>
      <c r="J216" s="80"/>
      <c r="K216" s="80">
        <v>785.92</v>
      </c>
      <c r="L216" s="80">
        <v>1978.99</v>
      </c>
      <c r="M216" s="80"/>
      <c r="N216" s="81"/>
    </row>
    <row r="217" spans="1:14" ht="20">
      <c r="A217" s="82" t="s">
        <v>199</v>
      </c>
      <c r="B217" s="80">
        <v>0</v>
      </c>
      <c r="C217" s="80">
        <v>64.37</v>
      </c>
      <c r="D217" s="80">
        <v>0</v>
      </c>
      <c r="E217" s="80">
        <v>0</v>
      </c>
      <c r="F217" s="80">
        <v>0</v>
      </c>
      <c r="G217" s="80">
        <v>0</v>
      </c>
      <c r="H217" s="80"/>
      <c r="I217" s="80"/>
      <c r="J217" s="80"/>
      <c r="K217" s="80"/>
      <c r="L217" s="80"/>
      <c r="M217" s="80"/>
      <c r="N217" s="81"/>
    </row>
    <row r="218" spans="1:14" ht="20">
      <c r="A218" s="82" t="s">
        <v>200</v>
      </c>
      <c r="B218" s="80">
        <v>650</v>
      </c>
      <c r="C218" s="80">
        <v>0</v>
      </c>
      <c r="D218" s="80">
        <v>0</v>
      </c>
      <c r="E218" s="80">
        <v>0</v>
      </c>
      <c r="F218" s="80">
        <v>0</v>
      </c>
      <c r="G218" s="80">
        <v>0</v>
      </c>
      <c r="H218" s="80"/>
      <c r="I218" s="80"/>
      <c r="J218" s="80"/>
      <c r="K218" s="80"/>
      <c r="L218" s="80"/>
      <c r="M218" s="80"/>
      <c r="N218" s="81"/>
    </row>
    <row r="219" spans="1:14" ht="20">
      <c r="A219" s="82" t="s">
        <v>201</v>
      </c>
      <c r="B219" s="80">
        <v>0</v>
      </c>
      <c r="C219" s="80">
        <v>0</v>
      </c>
      <c r="D219" s="80">
        <v>5907</v>
      </c>
      <c r="E219" s="80">
        <v>0</v>
      </c>
      <c r="F219" s="80">
        <v>0</v>
      </c>
      <c r="G219" s="80">
        <v>0</v>
      </c>
      <c r="H219" s="80"/>
      <c r="I219" s="80"/>
      <c r="J219" s="80"/>
      <c r="K219" s="80"/>
      <c r="L219" s="80"/>
      <c r="M219" s="80"/>
      <c r="N219" s="81"/>
    </row>
    <row r="220" spans="1:14" ht="20">
      <c r="A220" s="82" t="s">
        <v>202</v>
      </c>
      <c r="B220" s="80">
        <v>0</v>
      </c>
      <c r="C220" s="80">
        <v>0</v>
      </c>
      <c r="D220" s="80">
        <v>726</v>
      </c>
      <c r="E220" s="80">
        <v>774</v>
      </c>
      <c r="F220" s="80">
        <v>0</v>
      </c>
      <c r="G220" s="80">
        <v>0</v>
      </c>
      <c r="H220" s="80"/>
      <c r="I220" s="80"/>
      <c r="J220" s="80"/>
      <c r="K220" s="80"/>
      <c r="L220" s="80"/>
      <c r="M220" s="80"/>
      <c r="N220" s="81"/>
    </row>
    <row r="221" spans="1:14" ht="20">
      <c r="A221" s="82" t="s">
        <v>203</v>
      </c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82D5-D84F-B045-BECE-7C3FDA2A9A7E}">
  <dimension ref="A1:O512"/>
  <sheetViews>
    <sheetView tabSelected="1" topLeftCell="A87" zoomScaleNormal="100" workbookViewId="0">
      <pane xSplit="1" topLeftCell="F1" activePane="topRight" state="frozen"/>
      <selection pane="topRight" activeCell="I121" sqref="I121"/>
    </sheetView>
  </sheetViews>
  <sheetFormatPr baseColWidth="10" defaultColWidth="11" defaultRowHeight="16"/>
  <cols>
    <col min="1" max="1" width="44.5" style="98" customWidth="1"/>
    <col min="2" max="2" width="16.33203125" customWidth="1"/>
    <col min="3" max="3" width="16.6640625" customWidth="1"/>
    <col min="4" max="4" width="15.83203125" customWidth="1"/>
    <col min="5" max="5" width="18" customWidth="1"/>
    <col min="6" max="6" width="15.83203125" customWidth="1"/>
    <col min="7" max="7" width="15" bestFit="1" customWidth="1"/>
    <col min="8" max="8" width="16.5" style="146" customWidth="1"/>
    <col min="9" max="9" width="16.83203125" customWidth="1"/>
    <col min="10" max="10" width="16.5" customWidth="1"/>
    <col min="11" max="11" width="15.83203125" customWidth="1"/>
    <col min="12" max="12" width="16.5" customWidth="1"/>
    <col min="13" max="13" width="15" bestFit="1" customWidth="1"/>
    <col min="14" max="15" width="16.83203125" bestFit="1" customWidth="1"/>
  </cols>
  <sheetData>
    <row r="1" spans="1:14" ht="29">
      <c r="A1" s="103" t="s">
        <v>57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  <c r="G1" s="104" t="s">
        <v>6</v>
      </c>
      <c r="H1" s="141" t="s">
        <v>7</v>
      </c>
      <c r="I1" s="104" t="s">
        <v>8</v>
      </c>
      <c r="J1" s="104" t="s">
        <v>9</v>
      </c>
      <c r="K1" s="104" t="s">
        <v>10</v>
      </c>
      <c r="L1" s="104" t="s">
        <v>11</v>
      </c>
      <c r="M1" s="104" t="s">
        <v>12</v>
      </c>
      <c r="N1" s="105"/>
    </row>
    <row r="2" spans="1:14" ht="20">
      <c r="A2" s="135" t="s">
        <v>204</v>
      </c>
      <c r="B2" s="123"/>
      <c r="C2" s="124"/>
      <c r="D2" s="123"/>
      <c r="E2" s="123"/>
      <c r="F2" s="124"/>
      <c r="G2" s="123"/>
      <c r="H2" s="142"/>
      <c r="I2" s="123"/>
      <c r="J2" s="123"/>
      <c r="K2" s="123"/>
      <c r="L2" s="123"/>
      <c r="M2" s="123"/>
      <c r="N2" s="123"/>
    </row>
    <row r="3" spans="1:14" ht="19">
      <c r="A3" s="125" t="s">
        <v>59</v>
      </c>
      <c r="B3" s="126"/>
      <c r="C3" s="126"/>
      <c r="D3" s="126"/>
      <c r="E3" s="126"/>
      <c r="F3" s="126"/>
      <c r="G3" s="126"/>
      <c r="H3" s="143"/>
      <c r="I3" s="126"/>
      <c r="J3" s="126"/>
      <c r="K3" s="126"/>
      <c r="L3" s="126"/>
      <c r="M3" s="126">
        <v>7686.33</v>
      </c>
      <c r="N3" s="127"/>
    </row>
    <row r="4" spans="1:14" ht="20">
      <c r="A4" s="128" t="s">
        <v>205</v>
      </c>
      <c r="B4" s="126">
        <v>0</v>
      </c>
      <c r="C4" s="126">
        <v>0</v>
      </c>
      <c r="D4" s="126">
        <v>0</v>
      </c>
      <c r="E4" s="126">
        <v>0</v>
      </c>
      <c r="F4" s="126">
        <v>0</v>
      </c>
      <c r="G4" s="126">
        <v>0</v>
      </c>
      <c r="H4" s="143">
        <v>1831.11</v>
      </c>
      <c r="I4" s="126">
        <v>3654.18</v>
      </c>
      <c r="J4" s="126">
        <v>35</v>
      </c>
      <c r="K4" s="126">
        <v>5529.06</v>
      </c>
      <c r="L4" s="126">
        <v>2550</v>
      </c>
      <c r="M4" s="126">
        <v>400</v>
      </c>
      <c r="N4" s="127"/>
    </row>
    <row r="5" spans="1:14" ht="20">
      <c r="A5" s="128" t="s">
        <v>61</v>
      </c>
      <c r="B5" s="126">
        <v>600</v>
      </c>
      <c r="C5" s="126">
        <v>0</v>
      </c>
      <c r="D5" s="126">
        <v>525</v>
      </c>
      <c r="E5" s="126">
        <v>0</v>
      </c>
      <c r="F5" s="126">
        <v>0</v>
      </c>
      <c r="G5" s="126">
        <v>0</v>
      </c>
      <c r="H5" s="143">
        <v>600</v>
      </c>
      <c r="I5" s="126"/>
      <c r="J5" s="126"/>
      <c r="K5" s="126"/>
      <c r="L5" s="126">
        <v>500</v>
      </c>
      <c r="M5" s="126"/>
      <c r="N5" s="127"/>
    </row>
    <row r="6" spans="1:14" ht="20">
      <c r="A6" s="128" t="s">
        <v>206</v>
      </c>
      <c r="B6" s="126">
        <v>0</v>
      </c>
      <c r="C6" s="126">
        <v>0</v>
      </c>
      <c r="D6" s="126">
        <v>500</v>
      </c>
      <c r="E6" s="126">
        <v>0</v>
      </c>
      <c r="F6" s="126">
        <v>0</v>
      </c>
      <c r="G6" s="126">
        <v>0</v>
      </c>
      <c r="H6" s="143"/>
      <c r="I6" s="126"/>
      <c r="J6" s="126"/>
      <c r="K6" s="126"/>
      <c r="L6" s="126"/>
      <c r="M6" s="126"/>
      <c r="N6" s="127"/>
    </row>
    <row r="7" spans="1:14" ht="20">
      <c r="A7" s="128" t="s">
        <v>207</v>
      </c>
      <c r="B7" s="126">
        <v>0</v>
      </c>
      <c r="C7" s="126">
        <v>0</v>
      </c>
      <c r="D7" s="126">
        <v>64</v>
      </c>
      <c r="E7" s="126">
        <v>0</v>
      </c>
      <c r="F7" s="126">
        <v>0</v>
      </c>
      <c r="G7" s="126">
        <v>0</v>
      </c>
      <c r="H7" s="143"/>
      <c r="I7" s="126"/>
      <c r="J7" s="126"/>
      <c r="K7" s="126"/>
      <c r="L7" s="126"/>
      <c r="M7" s="126"/>
      <c r="N7" s="127"/>
    </row>
    <row r="8" spans="1:14" ht="20">
      <c r="A8" s="128" t="s">
        <v>208</v>
      </c>
      <c r="B8" s="126"/>
      <c r="C8" s="126"/>
      <c r="D8" s="126"/>
      <c r="E8" s="126"/>
      <c r="F8" s="126"/>
      <c r="G8" s="126"/>
      <c r="H8" s="143"/>
      <c r="I8" s="126"/>
      <c r="J8" s="126"/>
      <c r="K8" s="126"/>
      <c r="L8" s="126">
        <v>1811.72</v>
      </c>
      <c r="M8" s="126">
        <v>1811.72</v>
      </c>
      <c r="N8" s="127"/>
    </row>
    <row r="9" spans="1:14" ht="20">
      <c r="A9" s="128" t="s">
        <v>209</v>
      </c>
      <c r="B9" s="126">
        <v>0</v>
      </c>
      <c r="C9" s="126">
        <v>0</v>
      </c>
      <c r="D9" s="126">
        <v>0</v>
      </c>
      <c r="E9" s="126">
        <v>0</v>
      </c>
      <c r="F9" s="126">
        <v>0</v>
      </c>
      <c r="G9" s="126">
        <v>1500</v>
      </c>
      <c r="H9" s="143"/>
      <c r="I9" s="126"/>
      <c r="J9" s="126"/>
      <c r="K9" s="126"/>
      <c r="L9" s="126"/>
      <c r="M9" s="126"/>
      <c r="N9" s="127"/>
    </row>
    <row r="10" spans="1:14" ht="18" customHeight="1">
      <c r="A10" s="129" t="s">
        <v>210</v>
      </c>
      <c r="B10" s="130">
        <f>SUM(B2:B9)</f>
        <v>600</v>
      </c>
      <c r="C10" s="130">
        <f t="shared" ref="C10:L10" si="0">SUM(C2:C9)</f>
        <v>0</v>
      </c>
      <c r="D10" s="130">
        <f>SUM(D2:D9)</f>
        <v>1089</v>
      </c>
      <c r="E10" s="130">
        <f t="shared" si="0"/>
        <v>0</v>
      </c>
      <c r="F10" s="130">
        <f t="shared" si="0"/>
        <v>0</v>
      </c>
      <c r="G10" s="130">
        <f t="shared" si="0"/>
        <v>1500</v>
      </c>
      <c r="H10" s="144">
        <f t="shared" si="0"/>
        <v>2431.1099999999997</v>
      </c>
      <c r="I10" s="130">
        <f t="shared" si="0"/>
        <v>3654.18</v>
      </c>
      <c r="J10" s="130">
        <f t="shared" si="0"/>
        <v>35</v>
      </c>
      <c r="K10" s="130">
        <f t="shared" si="0"/>
        <v>5529.06</v>
      </c>
      <c r="L10" s="130">
        <f t="shared" si="0"/>
        <v>4861.72</v>
      </c>
      <c r="M10" s="130">
        <f>SUM(M2:M9)</f>
        <v>9898.0499999999993</v>
      </c>
      <c r="N10" s="131">
        <f>SUM(B10:M10)</f>
        <v>29598.12</v>
      </c>
    </row>
    <row r="11" spans="1:14" ht="21">
      <c r="A11" s="136" t="s">
        <v>211</v>
      </c>
      <c r="B11" s="126"/>
      <c r="C11" s="126"/>
      <c r="D11" s="126"/>
      <c r="E11" s="126"/>
      <c r="F11" s="126"/>
      <c r="G11" s="126"/>
      <c r="H11" s="143"/>
      <c r="I11" s="126"/>
      <c r="J11" s="126"/>
      <c r="K11" s="126"/>
      <c r="L11" s="126"/>
      <c r="M11" s="126"/>
      <c r="N11" s="132"/>
    </row>
    <row r="12" spans="1:14" ht="19">
      <c r="A12" s="129"/>
      <c r="B12" s="126"/>
      <c r="C12" s="126"/>
      <c r="D12" s="126"/>
      <c r="E12" s="126"/>
      <c r="F12" s="126"/>
      <c r="G12" s="126"/>
      <c r="H12" s="143"/>
      <c r="I12" s="126"/>
      <c r="J12" s="126"/>
      <c r="K12" s="126"/>
      <c r="L12" s="126"/>
      <c r="M12" s="126"/>
      <c r="N12" s="133"/>
    </row>
    <row r="13" spans="1:14" ht="21" customHeight="1">
      <c r="A13" s="128" t="s">
        <v>67</v>
      </c>
      <c r="B13" s="126">
        <v>860.89</v>
      </c>
      <c r="C13" s="126">
        <v>1355.68</v>
      </c>
      <c r="D13" s="126">
        <v>856.66</v>
      </c>
      <c r="E13" s="126">
        <v>1997.57</v>
      </c>
      <c r="F13" s="126">
        <v>1031.5999999999999</v>
      </c>
      <c r="G13" s="126">
        <v>1964.89</v>
      </c>
      <c r="H13" s="143">
        <v>1696.82</v>
      </c>
      <c r="I13" s="126">
        <v>509.75</v>
      </c>
      <c r="J13" s="126">
        <v>1063.27</v>
      </c>
      <c r="K13" s="126">
        <v>1015.33</v>
      </c>
      <c r="L13" s="126">
        <v>1664.32</v>
      </c>
      <c r="M13" s="126">
        <v>1027.93</v>
      </c>
      <c r="N13" s="127"/>
    </row>
    <row r="14" spans="1:14" ht="20">
      <c r="A14" s="129" t="s">
        <v>212</v>
      </c>
      <c r="B14" s="126"/>
      <c r="C14" s="126"/>
      <c r="D14" s="126"/>
      <c r="E14" s="126"/>
      <c r="F14" s="126"/>
      <c r="G14" s="126"/>
      <c r="H14" s="143"/>
      <c r="I14" s="126"/>
      <c r="J14" s="126"/>
      <c r="K14" s="126"/>
      <c r="L14" s="126"/>
      <c r="M14" s="126"/>
      <c r="N14" s="127"/>
    </row>
    <row r="15" spans="1:14" ht="22" customHeight="1">
      <c r="A15" s="128" t="s">
        <v>213</v>
      </c>
      <c r="B15" s="126">
        <v>2850</v>
      </c>
      <c r="C15" s="126">
        <v>2850</v>
      </c>
      <c r="D15" s="126">
        <v>2850</v>
      </c>
      <c r="E15" s="126">
        <v>2850</v>
      </c>
      <c r="F15" s="126">
        <v>2850</v>
      </c>
      <c r="G15" s="126">
        <v>2850</v>
      </c>
      <c r="H15" s="143">
        <v>2850</v>
      </c>
      <c r="I15" s="126">
        <v>2850</v>
      </c>
      <c r="J15" s="126">
        <v>2850</v>
      </c>
      <c r="K15" s="126"/>
      <c r="L15" s="126"/>
      <c r="M15" s="126"/>
      <c r="N15" s="127"/>
    </row>
    <row r="16" spans="1:14" ht="22" customHeight="1">
      <c r="A16" s="128" t="s">
        <v>214</v>
      </c>
      <c r="B16" s="126">
        <v>5699.67</v>
      </c>
      <c r="C16" s="126">
        <v>0</v>
      </c>
      <c r="D16" s="126">
        <v>0</v>
      </c>
      <c r="E16" s="126">
        <v>0</v>
      </c>
      <c r="F16" s="126">
        <v>0</v>
      </c>
      <c r="G16" s="126">
        <v>0</v>
      </c>
      <c r="H16" s="143"/>
      <c r="I16" s="126"/>
      <c r="J16" s="126"/>
      <c r="K16" s="126"/>
      <c r="L16" s="126"/>
      <c r="M16" s="126"/>
      <c r="N16" s="127"/>
    </row>
    <row r="17" spans="1:14" ht="22" customHeight="1">
      <c r="A17" s="128" t="s">
        <v>215</v>
      </c>
      <c r="B17" s="126">
        <v>0</v>
      </c>
      <c r="C17" s="126">
        <v>0</v>
      </c>
      <c r="D17" s="126">
        <v>0</v>
      </c>
      <c r="E17" s="126">
        <v>0</v>
      </c>
      <c r="F17" s="126">
        <v>2212</v>
      </c>
      <c r="G17" s="126">
        <v>0</v>
      </c>
      <c r="H17" s="143"/>
      <c r="I17" s="126"/>
      <c r="J17" s="126"/>
      <c r="K17" s="126"/>
      <c r="L17" s="126"/>
      <c r="M17" s="126"/>
      <c r="N17" s="127"/>
    </row>
    <row r="18" spans="1:14" ht="22" customHeight="1">
      <c r="A18" s="128" t="s">
        <v>216</v>
      </c>
      <c r="B18" s="126">
        <v>0</v>
      </c>
      <c r="C18" s="126">
        <v>0</v>
      </c>
      <c r="D18" s="126">
        <v>0</v>
      </c>
      <c r="E18" s="126">
        <v>0</v>
      </c>
      <c r="F18" s="126">
        <v>3800</v>
      </c>
      <c r="G18" s="126">
        <v>0</v>
      </c>
      <c r="H18" s="143"/>
      <c r="I18" s="126"/>
      <c r="J18" s="126"/>
      <c r="K18" s="126"/>
      <c r="L18" s="126"/>
      <c r="M18" s="126"/>
      <c r="N18" s="127"/>
    </row>
    <row r="19" spans="1:14" ht="22" customHeight="1">
      <c r="A19" s="128" t="s">
        <v>217</v>
      </c>
      <c r="B19" s="126">
        <v>0</v>
      </c>
      <c r="C19" s="126">
        <v>0</v>
      </c>
      <c r="D19" s="126">
        <v>0</v>
      </c>
      <c r="E19" s="126">
        <v>0</v>
      </c>
      <c r="F19" s="126">
        <v>212.9</v>
      </c>
      <c r="G19" s="126">
        <v>0</v>
      </c>
      <c r="H19" s="143"/>
      <c r="I19" s="126"/>
      <c r="J19" s="126"/>
      <c r="K19" s="126"/>
      <c r="L19" s="126"/>
      <c r="M19" s="126"/>
      <c r="N19" s="127"/>
    </row>
    <row r="20" spans="1:14" ht="22" customHeight="1">
      <c r="A20" s="128" t="s">
        <v>218</v>
      </c>
      <c r="B20" s="126">
        <v>0</v>
      </c>
      <c r="C20" s="126">
        <v>0</v>
      </c>
      <c r="D20" s="126">
        <v>0</v>
      </c>
      <c r="E20" s="126">
        <v>0</v>
      </c>
      <c r="F20" s="126">
        <v>166.32</v>
      </c>
      <c r="G20" s="126">
        <v>0</v>
      </c>
      <c r="H20" s="143"/>
      <c r="I20" s="126"/>
      <c r="J20" s="126"/>
      <c r="K20" s="126"/>
      <c r="L20" s="126"/>
      <c r="M20" s="126"/>
      <c r="N20" s="127"/>
    </row>
    <row r="21" spans="1:14" ht="22" customHeight="1">
      <c r="A21" s="128" t="s">
        <v>219</v>
      </c>
      <c r="B21" s="126">
        <v>0</v>
      </c>
      <c r="C21" s="126">
        <v>0</v>
      </c>
      <c r="D21" s="126">
        <v>0</v>
      </c>
      <c r="E21" s="126">
        <v>0</v>
      </c>
      <c r="F21" s="126">
        <v>735.06</v>
      </c>
      <c r="G21" s="126">
        <v>0</v>
      </c>
      <c r="H21" s="143"/>
      <c r="I21" s="126"/>
      <c r="J21" s="126"/>
      <c r="K21" s="126"/>
      <c r="L21" s="126"/>
      <c r="M21" s="126"/>
      <c r="N21" s="127"/>
    </row>
    <row r="22" spans="1:14" ht="22" customHeight="1">
      <c r="A22" s="128" t="s">
        <v>220</v>
      </c>
      <c r="B22" s="126">
        <v>0</v>
      </c>
      <c r="C22" s="126">
        <v>0</v>
      </c>
      <c r="D22" s="126">
        <v>0</v>
      </c>
      <c r="E22" s="126">
        <v>3400</v>
      </c>
      <c r="F22" s="126">
        <v>0</v>
      </c>
      <c r="G22" s="126">
        <v>0</v>
      </c>
      <c r="H22" s="143"/>
      <c r="I22" s="126"/>
      <c r="J22" s="126"/>
      <c r="K22" s="126"/>
      <c r="L22" s="126"/>
      <c r="M22" s="126"/>
      <c r="N22" s="127"/>
    </row>
    <row r="23" spans="1:14" ht="20">
      <c r="A23" s="128" t="s">
        <v>221</v>
      </c>
      <c r="B23" s="126">
        <v>1200</v>
      </c>
      <c r="C23" s="126">
        <v>0</v>
      </c>
      <c r="D23" s="126">
        <v>0</v>
      </c>
      <c r="E23" s="126">
        <v>1150</v>
      </c>
      <c r="F23" s="126">
        <v>0</v>
      </c>
      <c r="G23" s="126">
        <v>0</v>
      </c>
      <c r="H23" s="143"/>
      <c r="I23" s="126"/>
      <c r="J23" s="126"/>
      <c r="K23" s="126"/>
      <c r="L23" s="126"/>
      <c r="M23" s="126"/>
      <c r="N23" s="127"/>
    </row>
    <row r="24" spans="1:14" ht="20">
      <c r="A24" s="129" t="s">
        <v>222</v>
      </c>
      <c r="B24" s="126"/>
      <c r="C24" s="126"/>
      <c r="D24" s="126"/>
      <c r="E24" s="126"/>
      <c r="F24" s="126"/>
      <c r="G24" s="126"/>
      <c r="H24" s="143"/>
      <c r="I24" s="126"/>
      <c r="J24" s="126"/>
      <c r="K24" s="126"/>
      <c r="L24" s="126"/>
      <c r="M24" s="126"/>
      <c r="N24" s="127"/>
    </row>
    <row r="25" spans="1:14" ht="20">
      <c r="A25" s="129" t="s">
        <v>223</v>
      </c>
      <c r="B25" s="126"/>
      <c r="C25" s="126"/>
      <c r="D25" s="126"/>
      <c r="E25" s="126"/>
      <c r="F25" s="126"/>
      <c r="G25" s="126"/>
      <c r="H25" s="143">
        <v>739</v>
      </c>
      <c r="I25" s="126"/>
      <c r="J25" s="126">
        <v>925.88</v>
      </c>
      <c r="K25" s="126">
        <v>2585</v>
      </c>
      <c r="L25" s="126"/>
      <c r="M25" s="126">
        <v>782.25</v>
      </c>
      <c r="N25" s="127"/>
    </row>
    <row r="26" spans="1:14" ht="22" customHeight="1">
      <c r="A26" s="128" t="s">
        <v>224</v>
      </c>
      <c r="B26" s="126">
        <v>250.08</v>
      </c>
      <c r="C26" s="126">
        <v>0</v>
      </c>
      <c r="D26" s="126">
        <v>0</v>
      </c>
      <c r="E26" s="126">
        <v>150</v>
      </c>
      <c r="F26" s="126">
        <v>100</v>
      </c>
      <c r="G26" s="126">
        <v>0</v>
      </c>
      <c r="H26" s="143"/>
      <c r="I26" s="126"/>
      <c r="J26" s="126">
        <v>139.99</v>
      </c>
      <c r="K26" s="126"/>
      <c r="L26" s="126"/>
      <c r="M26" s="126"/>
      <c r="N26" s="127"/>
    </row>
    <row r="27" spans="1:14" ht="23" customHeight="1">
      <c r="A27" s="128" t="s">
        <v>225</v>
      </c>
      <c r="B27" s="126">
        <v>276.36</v>
      </c>
      <c r="C27" s="126">
        <v>0</v>
      </c>
      <c r="D27" s="126">
        <v>0</v>
      </c>
      <c r="E27" s="126">
        <v>0</v>
      </c>
      <c r="F27" s="126">
        <v>0</v>
      </c>
      <c r="G27" s="126">
        <v>0</v>
      </c>
      <c r="H27" s="143">
        <v>1524</v>
      </c>
      <c r="I27" s="126"/>
      <c r="J27" s="126"/>
      <c r="K27" s="126"/>
      <c r="L27" s="126"/>
      <c r="M27" s="126"/>
      <c r="N27" s="127"/>
    </row>
    <row r="28" spans="1:14" ht="23" customHeight="1">
      <c r="A28" s="128" t="s">
        <v>226</v>
      </c>
      <c r="B28" s="126">
        <v>263.05</v>
      </c>
      <c r="C28" s="126">
        <v>577.12</v>
      </c>
      <c r="D28" s="126">
        <v>453.07</v>
      </c>
      <c r="E28" s="126">
        <v>0</v>
      </c>
      <c r="F28" s="126">
        <v>296.02999999999997</v>
      </c>
      <c r="G28" s="126">
        <v>0</v>
      </c>
      <c r="H28" s="143">
        <v>447.5</v>
      </c>
      <c r="I28" s="126"/>
      <c r="J28" s="126"/>
      <c r="K28" s="126">
        <v>495.88</v>
      </c>
      <c r="L28" s="126">
        <v>306</v>
      </c>
      <c r="M28" s="126"/>
      <c r="N28" s="127"/>
    </row>
    <row r="29" spans="1:14" ht="23" customHeight="1">
      <c r="A29" s="128" t="s">
        <v>227</v>
      </c>
      <c r="B29" s="126">
        <v>0</v>
      </c>
      <c r="C29" s="126">
        <v>0</v>
      </c>
      <c r="D29" s="126">
        <v>0</v>
      </c>
      <c r="E29" s="126">
        <v>0</v>
      </c>
      <c r="F29" s="126">
        <v>0</v>
      </c>
      <c r="G29" s="126">
        <v>390.71</v>
      </c>
      <c r="H29" s="143"/>
      <c r="I29" s="126"/>
      <c r="J29" s="126"/>
      <c r="K29" s="126"/>
      <c r="L29" s="126"/>
      <c r="M29" s="126"/>
      <c r="N29" s="127"/>
    </row>
    <row r="30" spans="1:14" ht="20">
      <c r="A30" s="128" t="s">
        <v>228</v>
      </c>
      <c r="B30" s="126">
        <v>0</v>
      </c>
      <c r="C30" s="126">
        <v>0</v>
      </c>
      <c r="D30" s="126">
        <v>0</v>
      </c>
      <c r="E30" s="126">
        <v>0</v>
      </c>
      <c r="F30" s="126">
        <v>0</v>
      </c>
      <c r="G30" s="126">
        <v>296.05</v>
      </c>
      <c r="H30" s="143"/>
      <c r="I30" s="126"/>
      <c r="J30" s="126"/>
      <c r="K30" s="126"/>
      <c r="L30" s="126"/>
      <c r="M30" s="126"/>
      <c r="N30" s="127"/>
    </row>
    <row r="31" spans="1:14" ht="20">
      <c r="A31" s="128" t="s">
        <v>229</v>
      </c>
      <c r="B31" s="126">
        <v>0</v>
      </c>
      <c r="C31" s="126">
        <v>221.6</v>
      </c>
      <c r="D31" s="126">
        <v>0</v>
      </c>
      <c r="E31" s="126">
        <v>711.46</v>
      </c>
      <c r="F31" s="126">
        <v>0</v>
      </c>
      <c r="G31" s="126">
        <v>0</v>
      </c>
      <c r="H31" s="143"/>
      <c r="I31" s="126"/>
      <c r="J31" s="126"/>
      <c r="K31" s="126"/>
      <c r="L31" s="126"/>
      <c r="M31" s="126"/>
      <c r="N31" s="127"/>
    </row>
    <row r="32" spans="1:14" ht="20">
      <c r="A32" s="128" t="s">
        <v>230</v>
      </c>
      <c r="B32" s="126">
        <v>96</v>
      </c>
      <c r="C32" s="126">
        <v>0</v>
      </c>
      <c r="D32" s="126">
        <v>0</v>
      </c>
      <c r="E32" s="126">
        <v>0</v>
      </c>
      <c r="F32" s="126">
        <v>0</v>
      </c>
      <c r="G32" s="126">
        <v>0</v>
      </c>
      <c r="H32" s="143"/>
      <c r="I32" s="126"/>
      <c r="J32" s="126"/>
      <c r="K32" s="126"/>
      <c r="L32" s="126"/>
      <c r="M32" s="126"/>
      <c r="N32" s="127"/>
    </row>
    <row r="33" spans="1:14" ht="20">
      <c r="A33" s="128" t="s">
        <v>231</v>
      </c>
      <c r="B33" s="126">
        <v>0</v>
      </c>
      <c r="C33" s="126">
        <v>0</v>
      </c>
      <c r="D33" s="126">
        <v>498.71</v>
      </c>
      <c r="E33" s="126">
        <v>0</v>
      </c>
      <c r="F33" s="126">
        <v>0</v>
      </c>
      <c r="G33" s="126">
        <v>0</v>
      </c>
      <c r="H33" s="143"/>
      <c r="I33" s="126"/>
      <c r="J33" s="126"/>
      <c r="K33" s="126"/>
      <c r="L33" s="126"/>
      <c r="M33" s="126"/>
      <c r="N33" s="127"/>
    </row>
    <row r="34" spans="1:14" ht="20">
      <c r="A34" s="128" t="s">
        <v>232</v>
      </c>
      <c r="B34" s="126"/>
      <c r="C34" s="126"/>
      <c r="D34" s="126"/>
      <c r="E34" s="126"/>
      <c r="F34" s="126"/>
      <c r="G34" s="126"/>
      <c r="H34" s="143"/>
      <c r="I34" s="126"/>
      <c r="J34" s="126"/>
      <c r="K34" s="126"/>
      <c r="L34" s="126"/>
      <c r="M34" s="126"/>
      <c r="N34" s="127"/>
    </row>
    <row r="35" spans="1:14" ht="24" customHeight="1">
      <c r="A35" s="128" t="s">
        <v>233</v>
      </c>
      <c r="B35" s="126">
        <v>550</v>
      </c>
      <c r="C35" s="126">
        <v>550</v>
      </c>
      <c r="D35" s="126">
        <v>2211.17</v>
      </c>
      <c r="E35" s="126">
        <v>1400</v>
      </c>
      <c r="F35" s="126">
        <v>3000</v>
      </c>
      <c r="G35" s="126">
        <v>600</v>
      </c>
      <c r="H35" s="143"/>
      <c r="I35" s="126"/>
      <c r="J35" s="126"/>
      <c r="K35" s="126"/>
      <c r="L35" s="126"/>
      <c r="M35" s="126"/>
      <c r="N35" s="132"/>
    </row>
    <row r="36" spans="1:14" ht="24" customHeight="1">
      <c r="A36" s="128" t="s">
        <v>234</v>
      </c>
      <c r="B36" s="126">
        <v>78</v>
      </c>
      <c r="C36" s="126">
        <v>0</v>
      </c>
      <c r="D36" s="126">
        <v>0</v>
      </c>
      <c r="E36" s="126">
        <v>0</v>
      </c>
      <c r="F36" s="126">
        <v>0</v>
      </c>
      <c r="G36" s="126">
        <v>0</v>
      </c>
      <c r="H36" s="143"/>
      <c r="I36" s="126"/>
      <c r="J36" s="126"/>
      <c r="K36" s="126"/>
      <c r="L36" s="126"/>
      <c r="M36" s="126"/>
      <c r="N36" s="132"/>
    </row>
    <row r="37" spans="1:14" ht="24" customHeight="1">
      <c r="A37" s="128" t="s">
        <v>235</v>
      </c>
      <c r="B37" s="126">
        <v>0</v>
      </c>
      <c r="C37" s="126">
        <v>0</v>
      </c>
      <c r="D37" s="126">
        <v>0</v>
      </c>
      <c r="E37" s="126">
        <v>0</v>
      </c>
      <c r="F37" s="126">
        <v>558</v>
      </c>
      <c r="G37" s="126">
        <v>0</v>
      </c>
      <c r="H37" s="143"/>
      <c r="I37" s="126"/>
      <c r="J37" s="126"/>
      <c r="K37" s="126"/>
      <c r="L37" s="126"/>
      <c r="M37" s="126">
        <v>619</v>
      </c>
      <c r="N37" s="132"/>
    </row>
    <row r="38" spans="1:14" ht="25" customHeight="1">
      <c r="A38" s="128" t="s">
        <v>236</v>
      </c>
      <c r="B38" s="126">
        <v>0</v>
      </c>
      <c r="C38" s="126">
        <v>0</v>
      </c>
      <c r="D38" s="126">
        <v>260</v>
      </c>
      <c r="E38" s="126">
        <v>0</v>
      </c>
      <c r="F38" s="126">
        <v>0</v>
      </c>
      <c r="G38" s="126">
        <v>0</v>
      </c>
      <c r="H38" s="143"/>
      <c r="I38" s="126"/>
      <c r="J38" s="126"/>
      <c r="K38" s="126"/>
      <c r="L38" s="126"/>
      <c r="M38" s="126"/>
      <c r="N38" s="132"/>
    </row>
    <row r="39" spans="1:14" ht="20">
      <c r="A39" s="128" t="s">
        <v>237</v>
      </c>
      <c r="B39" s="126">
        <v>0</v>
      </c>
      <c r="C39" s="126">
        <v>0</v>
      </c>
      <c r="D39" s="126">
        <v>150</v>
      </c>
      <c r="E39" s="126">
        <v>0</v>
      </c>
      <c r="F39" s="126">
        <v>0</v>
      </c>
      <c r="G39" s="126">
        <v>0</v>
      </c>
      <c r="H39" s="143"/>
      <c r="I39" s="126"/>
      <c r="J39" s="126">
        <v>130</v>
      </c>
      <c r="K39" s="126"/>
      <c r="L39" s="126"/>
      <c r="M39" s="126"/>
      <c r="N39" s="132"/>
    </row>
    <row r="40" spans="1:14" ht="24" customHeight="1">
      <c r="A40" s="128" t="s">
        <v>238</v>
      </c>
      <c r="B40" s="126">
        <v>4140</v>
      </c>
      <c r="C40" s="126">
        <v>0</v>
      </c>
      <c r="D40" s="126">
        <v>0</v>
      </c>
      <c r="E40" s="126">
        <v>0</v>
      </c>
      <c r="F40" s="126">
        <v>0</v>
      </c>
      <c r="G40" s="126">
        <v>0</v>
      </c>
      <c r="H40" s="143"/>
      <c r="I40" s="126"/>
      <c r="J40" s="126"/>
      <c r="K40" s="126"/>
      <c r="L40" s="126"/>
      <c r="M40" s="126"/>
      <c r="N40" s="132"/>
    </row>
    <row r="41" spans="1:14" ht="23" customHeight="1">
      <c r="A41" s="128" t="s">
        <v>239</v>
      </c>
      <c r="B41" s="126">
        <v>64.5</v>
      </c>
      <c r="C41" s="126">
        <v>0</v>
      </c>
      <c r="D41" s="126">
        <v>0</v>
      </c>
      <c r="E41" s="126">
        <v>0</v>
      </c>
      <c r="F41" s="126">
        <v>0</v>
      </c>
      <c r="G41" s="126">
        <v>0</v>
      </c>
      <c r="H41" s="143"/>
      <c r="I41" s="126"/>
      <c r="J41" s="126"/>
      <c r="K41" s="126"/>
      <c r="L41" s="126"/>
      <c r="M41" s="126"/>
      <c r="N41" s="132"/>
    </row>
    <row r="42" spans="1:14" ht="20">
      <c r="A42" s="128" t="s">
        <v>240</v>
      </c>
      <c r="B42" s="126">
        <v>3500</v>
      </c>
      <c r="C42" s="126">
        <v>0</v>
      </c>
      <c r="D42" s="126">
        <v>0</v>
      </c>
      <c r="E42" s="126">
        <v>0</v>
      </c>
      <c r="F42" s="126">
        <v>0</v>
      </c>
      <c r="G42" s="126">
        <v>0</v>
      </c>
      <c r="H42" s="143"/>
      <c r="I42" s="126"/>
      <c r="J42" s="126"/>
      <c r="K42" s="126"/>
      <c r="L42" s="126"/>
      <c r="M42" s="126"/>
      <c r="N42" s="132"/>
    </row>
    <row r="43" spans="1:14" ht="22" customHeight="1">
      <c r="A43" s="128" t="s">
        <v>241</v>
      </c>
      <c r="B43" s="126">
        <v>7750</v>
      </c>
      <c r="C43" s="126">
        <v>0</v>
      </c>
      <c r="D43" s="126">
        <v>0</v>
      </c>
      <c r="E43" s="126">
        <v>0</v>
      </c>
      <c r="F43" s="126">
        <v>0</v>
      </c>
      <c r="G43" s="126">
        <v>0</v>
      </c>
      <c r="H43" s="143"/>
      <c r="I43" s="126"/>
      <c r="J43" s="126"/>
      <c r="K43" s="126"/>
      <c r="L43" s="126"/>
      <c r="M43" s="126"/>
      <c r="N43" s="132"/>
    </row>
    <row r="44" spans="1:14" ht="22" customHeight="1">
      <c r="A44" s="128" t="s">
        <v>242</v>
      </c>
      <c r="B44" s="126">
        <v>720</v>
      </c>
      <c r="C44" s="126">
        <v>0</v>
      </c>
      <c r="D44" s="126">
        <v>0</v>
      </c>
      <c r="E44" s="126">
        <v>0</v>
      </c>
      <c r="F44" s="126">
        <v>0</v>
      </c>
      <c r="G44" s="126">
        <v>0</v>
      </c>
      <c r="H44" s="143"/>
      <c r="I44" s="126"/>
      <c r="J44" s="126"/>
      <c r="K44" s="126"/>
      <c r="L44" s="126"/>
      <c r="M44" s="126"/>
      <c r="N44" s="132"/>
    </row>
    <row r="45" spans="1:14" ht="24" customHeight="1">
      <c r="A45" s="128" t="s">
        <v>243</v>
      </c>
      <c r="B45" s="126">
        <v>0</v>
      </c>
      <c r="C45" s="126">
        <v>12320</v>
      </c>
      <c r="D45" s="126">
        <v>0</v>
      </c>
      <c r="E45" s="126">
        <v>0</v>
      </c>
      <c r="F45" s="126">
        <v>0</v>
      </c>
      <c r="G45" s="126">
        <v>0</v>
      </c>
      <c r="H45" s="143"/>
      <c r="I45" s="126"/>
      <c r="J45" s="126"/>
      <c r="K45" s="126"/>
      <c r="L45" s="126"/>
      <c r="M45" s="126"/>
      <c r="N45" s="132"/>
    </row>
    <row r="46" spans="1:14" ht="22" customHeight="1">
      <c r="A46" s="128" t="s">
        <v>244</v>
      </c>
      <c r="B46" s="126">
        <v>0</v>
      </c>
      <c r="C46" s="126">
        <v>840</v>
      </c>
      <c r="D46" s="126">
        <v>0</v>
      </c>
      <c r="E46" s="126">
        <v>0</v>
      </c>
      <c r="F46" s="126">
        <v>0</v>
      </c>
      <c r="G46" s="126">
        <v>0</v>
      </c>
      <c r="H46" s="143"/>
      <c r="I46" s="126"/>
      <c r="J46" s="126"/>
      <c r="K46" s="126"/>
      <c r="L46" s="126"/>
      <c r="M46" s="126"/>
      <c r="N46" s="132"/>
    </row>
    <row r="47" spans="1:14" ht="20" customHeight="1">
      <c r="A47" s="128" t="s">
        <v>245</v>
      </c>
      <c r="B47" s="126">
        <v>0</v>
      </c>
      <c r="C47" s="126">
        <v>0</v>
      </c>
      <c r="D47" s="126">
        <v>700</v>
      </c>
      <c r="E47" s="126">
        <v>0</v>
      </c>
      <c r="F47" s="126">
        <v>0</v>
      </c>
      <c r="G47" s="126">
        <v>0</v>
      </c>
      <c r="H47" s="143"/>
      <c r="I47" s="126"/>
      <c r="J47" s="126"/>
      <c r="K47" s="126"/>
      <c r="L47" s="126"/>
      <c r="M47" s="126"/>
      <c r="N47" s="132"/>
    </row>
    <row r="48" spans="1:14" ht="22" customHeight="1">
      <c r="A48" s="128" t="s">
        <v>246</v>
      </c>
      <c r="B48" s="126">
        <v>0</v>
      </c>
      <c r="C48" s="126">
        <v>0</v>
      </c>
      <c r="D48" s="126">
        <v>380</v>
      </c>
      <c r="E48" s="126">
        <v>0</v>
      </c>
      <c r="F48" s="126">
        <v>0</v>
      </c>
      <c r="G48" s="126">
        <v>0</v>
      </c>
      <c r="H48" s="143"/>
      <c r="I48" s="126"/>
      <c r="J48" s="126"/>
      <c r="K48" s="126"/>
      <c r="L48" s="126"/>
      <c r="M48" s="126"/>
      <c r="N48" s="132"/>
    </row>
    <row r="49" spans="1:14" ht="22" customHeight="1">
      <c r="A49" s="128" t="s">
        <v>247</v>
      </c>
      <c r="B49" s="126">
        <v>0</v>
      </c>
      <c r="C49" s="126">
        <v>0</v>
      </c>
      <c r="D49" s="126">
        <v>600</v>
      </c>
      <c r="E49" s="126">
        <v>1670</v>
      </c>
      <c r="F49" s="126">
        <v>0</v>
      </c>
      <c r="G49" s="126">
        <v>0</v>
      </c>
      <c r="H49" s="143"/>
      <c r="I49" s="126"/>
      <c r="J49" s="126"/>
      <c r="K49" s="126"/>
      <c r="L49" s="126"/>
      <c r="M49" s="126"/>
      <c r="N49" s="132"/>
    </row>
    <row r="50" spans="1:14" ht="22" customHeight="1">
      <c r="A50" s="128" t="s">
        <v>248</v>
      </c>
      <c r="B50" s="126">
        <v>0</v>
      </c>
      <c r="C50" s="126">
        <v>2800</v>
      </c>
      <c r="D50" s="126">
        <v>0</v>
      </c>
      <c r="E50" s="126">
        <v>0</v>
      </c>
      <c r="F50" s="126">
        <v>0</v>
      </c>
      <c r="G50" s="126">
        <v>0</v>
      </c>
      <c r="H50" s="143"/>
      <c r="I50" s="126"/>
      <c r="J50" s="126"/>
      <c r="K50" s="126"/>
      <c r="L50" s="126"/>
      <c r="M50" s="126"/>
      <c r="N50" s="132"/>
    </row>
    <row r="51" spans="1:14" ht="22" customHeight="1">
      <c r="A51" s="128" t="s">
        <v>249</v>
      </c>
      <c r="B51" s="126">
        <v>6000</v>
      </c>
      <c r="C51" s="126">
        <v>0</v>
      </c>
      <c r="D51" s="126">
        <v>6000</v>
      </c>
      <c r="E51" s="126">
        <v>0</v>
      </c>
      <c r="F51" s="126">
        <v>0</v>
      </c>
      <c r="G51" s="126">
        <v>0</v>
      </c>
      <c r="H51" s="143"/>
      <c r="I51" s="126"/>
      <c r="J51" s="126"/>
      <c r="K51" s="126"/>
      <c r="L51" s="126"/>
      <c r="M51" s="126"/>
      <c r="N51" s="132"/>
    </row>
    <row r="52" spans="1:14" ht="23" customHeight="1">
      <c r="A52" s="128" t="s">
        <v>250</v>
      </c>
      <c r="B52" s="126">
        <v>0</v>
      </c>
      <c r="C52" s="126">
        <v>1150</v>
      </c>
      <c r="D52" s="126">
        <v>0</v>
      </c>
      <c r="E52" s="126">
        <v>0</v>
      </c>
      <c r="F52" s="126">
        <v>0</v>
      </c>
      <c r="G52" s="126">
        <v>0</v>
      </c>
      <c r="H52" s="143"/>
      <c r="I52" s="126"/>
      <c r="J52" s="126"/>
      <c r="K52" s="126"/>
      <c r="L52" s="126"/>
      <c r="M52" s="126"/>
      <c r="N52" s="132"/>
    </row>
    <row r="53" spans="1:14" ht="23" customHeight="1">
      <c r="A53" s="128" t="s">
        <v>251</v>
      </c>
      <c r="B53" s="126">
        <v>49.5</v>
      </c>
      <c r="C53" s="126">
        <v>0</v>
      </c>
      <c r="D53" s="126">
        <v>0</v>
      </c>
      <c r="E53" s="126">
        <v>0</v>
      </c>
      <c r="F53" s="126">
        <v>0</v>
      </c>
      <c r="G53" s="126">
        <v>0</v>
      </c>
      <c r="H53" s="143"/>
      <c r="I53" s="126"/>
      <c r="J53" s="126"/>
      <c r="K53" s="126"/>
      <c r="L53" s="126"/>
      <c r="M53" s="126"/>
      <c r="N53" s="132"/>
    </row>
    <row r="54" spans="1:14" ht="17" customHeight="1">
      <c r="A54" s="128" t="s">
        <v>252</v>
      </c>
      <c r="B54" s="126">
        <v>0</v>
      </c>
      <c r="C54" s="126">
        <v>0</v>
      </c>
      <c r="D54" s="126">
        <v>115</v>
      </c>
      <c r="E54" s="126">
        <v>0</v>
      </c>
      <c r="F54" s="126">
        <v>0</v>
      </c>
      <c r="G54" s="126">
        <v>0</v>
      </c>
      <c r="H54" s="143"/>
      <c r="I54" s="126"/>
      <c r="J54" s="126"/>
      <c r="K54" s="126"/>
      <c r="L54" s="126"/>
      <c r="M54" s="126"/>
      <c r="N54" s="132"/>
    </row>
    <row r="55" spans="1:14" ht="22" customHeight="1">
      <c r="A55" s="128" t="s">
        <v>253</v>
      </c>
      <c r="B55" s="126">
        <v>0</v>
      </c>
      <c r="C55" s="126">
        <v>0</v>
      </c>
      <c r="D55" s="126">
        <v>500</v>
      </c>
      <c r="E55" s="126">
        <v>1530</v>
      </c>
      <c r="F55" s="126">
        <v>0</v>
      </c>
      <c r="G55" s="126">
        <v>510</v>
      </c>
      <c r="H55" s="143"/>
      <c r="I55" s="126"/>
      <c r="J55" s="126">
        <v>510</v>
      </c>
      <c r="K55" s="126">
        <v>530</v>
      </c>
      <c r="L55" s="126"/>
      <c r="M55" s="126">
        <v>530</v>
      </c>
      <c r="N55" s="132"/>
    </row>
    <row r="56" spans="1:14" ht="21" customHeight="1">
      <c r="A56" s="128" t="s">
        <v>254</v>
      </c>
      <c r="B56" s="126">
        <v>0</v>
      </c>
      <c r="C56" s="126">
        <v>0</v>
      </c>
      <c r="D56" s="126">
        <v>0</v>
      </c>
      <c r="E56" s="126">
        <v>200</v>
      </c>
      <c r="F56" s="126">
        <v>0</v>
      </c>
      <c r="G56" s="126">
        <v>0</v>
      </c>
      <c r="H56" s="143"/>
      <c r="I56" s="126"/>
      <c r="J56" s="126"/>
      <c r="K56" s="126"/>
      <c r="L56" s="126"/>
      <c r="M56" s="126"/>
      <c r="N56" s="132"/>
    </row>
    <row r="57" spans="1:14" ht="20">
      <c r="A57" s="128" t="s">
        <v>255</v>
      </c>
      <c r="B57" s="126">
        <v>0</v>
      </c>
      <c r="C57" s="126">
        <v>0</v>
      </c>
      <c r="D57" s="126">
        <v>0</v>
      </c>
      <c r="E57" s="126">
        <v>270</v>
      </c>
      <c r="F57" s="126">
        <v>0</v>
      </c>
      <c r="G57" s="126">
        <v>0</v>
      </c>
      <c r="H57" s="143"/>
      <c r="I57" s="126"/>
      <c r="J57" s="126"/>
      <c r="K57" s="126"/>
      <c r="L57" s="126"/>
      <c r="M57" s="126"/>
      <c r="N57" s="132"/>
    </row>
    <row r="58" spans="1:14" ht="20">
      <c r="A58" s="129" t="s">
        <v>256</v>
      </c>
      <c r="B58" s="126"/>
      <c r="C58" s="126"/>
      <c r="D58" s="126"/>
      <c r="E58" s="126"/>
      <c r="F58" s="126"/>
      <c r="G58" s="126"/>
      <c r="H58" s="143"/>
      <c r="I58" s="126"/>
      <c r="J58" s="126"/>
      <c r="K58" s="126"/>
      <c r="L58" s="126"/>
      <c r="M58" s="126"/>
      <c r="N58" s="127"/>
    </row>
    <row r="59" spans="1:14" ht="20">
      <c r="A59" s="129" t="s">
        <v>257</v>
      </c>
      <c r="B59" s="127">
        <f>SUM(B13:B57)</f>
        <v>34348.050000000003</v>
      </c>
      <c r="C59" s="127">
        <f>SUM(C13:C57)</f>
        <v>22664.400000000001</v>
      </c>
      <c r="D59" s="127">
        <f>SUM(D13:D57)</f>
        <v>15574.61</v>
      </c>
      <c r="E59" s="127">
        <f>SUM(E13:E57)</f>
        <v>15329.029999999999</v>
      </c>
      <c r="F59" s="127">
        <f>SUM(F13:F57)</f>
        <v>14961.91</v>
      </c>
      <c r="G59" s="127">
        <f>SUM(G13:G57)</f>
        <v>6611.6500000000005</v>
      </c>
      <c r="H59" s="145">
        <f>SUM(H13:H57)</f>
        <v>7257.32</v>
      </c>
      <c r="I59" s="127">
        <f>SUM(I13:I57)</f>
        <v>3359.75</v>
      </c>
      <c r="J59" s="127">
        <f>SUM(J13:J57)</f>
        <v>5619.1399999999994</v>
      </c>
      <c r="K59" s="127">
        <f>SUM(K13:K57)</f>
        <v>4626.21</v>
      </c>
      <c r="L59" s="127">
        <f>SUM(L13:L57)</f>
        <v>1970.32</v>
      </c>
      <c r="M59" s="127">
        <f>SUM(M13:M57)</f>
        <v>2959.1800000000003</v>
      </c>
      <c r="N59" s="134">
        <f>SUM(B59:M59)</f>
        <v>135281.57</v>
      </c>
    </row>
    <row r="60" spans="1:14" ht="24" customHeight="1">
      <c r="A60" s="151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32"/>
    </row>
    <row r="61" spans="1:14" ht="24" customHeight="1">
      <c r="A61" s="135" t="s">
        <v>129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32"/>
    </row>
    <row r="62" spans="1:14" ht="24" customHeight="1">
      <c r="A62" s="151" t="s">
        <v>258</v>
      </c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32"/>
    </row>
    <row r="63" spans="1:14" ht="24" customHeight="1">
      <c r="A63" s="128" t="s">
        <v>131</v>
      </c>
      <c r="B63" s="126">
        <v>17000</v>
      </c>
      <c r="C63" s="126">
        <v>18000</v>
      </c>
      <c r="D63" s="126">
        <v>6000</v>
      </c>
      <c r="E63" s="126">
        <v>0</v>
      </c>
      <c r="F63" s="126">
        <v>0</v>
      </c>
      <c r="G63" s="126">
        <v>0</v>
      </c>
      <c r="H63" s="126"/>
      <c r="I63" s="126"/>
      <c r="J63" s="126">
        <v>8200</v>
      </c>
      <c r="K63" s="152">
        <v>8700</v>
      </c>
      <c r="L63" s="152">
        <v>8700</v>
      </c>
      <c r="M63" s="152">
        <v>11300</v>
      </c>
      <c r="N63" s="127"/>
    </row>
    <row r="64" spans="1:14" ht="26" customHeight="1">
      <c r="A64" s="128" t="s">
        <v>132</v>
      </c>
      <c r="B64" s="126">
        <v>6891.75</v>
      </c>
      <c r="C64" s="126">
        <v>0</v>
      </c>
      <c r="D64" s="126">
        <v>0</v>
      </c>
      <c r="E64" s="126">
        <v>13977.52</v>
      </c>
      <c r="F64" s="126">
        <v>13977.52</v>
      </c>
      <c r="G64" s="126">
        <v>13977.52</v>
      </c>
      <c r="H64" s="126">
        <v>13977.52</v>
      </c>
      <c r="I64" s="126">
        <v>13977.52</v>
      </c>
      <c r="J64" s="126">
        <v>13977.52</v>
      </c>
      <c r="K64" s="126">
        <v>13977.52</v>
      </c>
      <c r="L64" s="126">
        <v>13977.52</v>
      </c>
      <c r="M64" s="126">
        <v>13977.52</v>
      </c>
      <c r="N64" s="127"/>
    </row>
    <row r="65" spans="1:14" ht="24" customHeight="1">
      <c r="A65" s="128" t="s">
        <v>133</v>
      </c>
      <c r="B65" s="126">
        <v>2169.37</v>
      </c>
      <c r="C65" s="126">
        <v>2169.37</v>
      </c>
      <c r="D65" s="126">
        <v>3801.95</v>
      </c>
      <c r="E65" s="126">
        <v>2985.66</v>
      </c>
      <c r="F65" s="126">
        <v>2985.66</v>
      </c>
      <c r="G65" s="126">
        <v>2985.66</v>
      </c>
      <c r="H65" s="126">
        <v>2985.66</v>
      </c>
      <c r="I65" s="126">
        <v>2985.66</v>
      </c>
      <c r="J65" s="126">
        <v>2985.66</v>
      </c>
      <c r="K65" s="126">
        <v>2985.66</v>
      </c>
      <c r="L65" s="126">
        <v>2985.66</v>
      </c>
      <c r="M65" s="126">
        <v>2985.66</v>
      </c>
      <c r="N65" s="127"/>
    </row>
    <row r="66" spans="1:14" ht="23" customHeight="1">
      <c r="A66" s="128" t="s">
        <v>134</v>
      </c>
      <c r="B66" s="126">
        <v>836.22</v>
      </c>
      <c r="C66" s="126">
        <v>805.05</v>
      </c>
      <c r="D66" s="126">
        <v>916.88</v>
      </c>
      <c r="E66" s="126">
        <v>881.74</v>
      </c>
      <c r="F66" s="126">
        <v>895.62</v>
      </c>
      <c r="G66" s="126">
        <v>922.82</v>
      </c>
      <c r="H66" s="153">
        <v>866.2</v>
      </c>
      <c r="I66" s="153">
        <v>865.29</v>
      </c>
      <c r="J66" s="153">
        <v>889.18</v>
      </c>
      <c r="K66" s="153">
        <v>861.78</v>
      </c>
      <c r="L66" s="153">
        <v>911.02</v>
      </c>
      <c r="M66" s="153">
        <v>941.61</v>
      </c>
      <c r="N66" s="127"/>
    </row>
    <row r="67" spans="1:14" ht="23" customHeight="1">
      <c r="A67" s="128" t="s">
        <v>135</v>
      </c>
      <c r="B67" s="126">
        <v>9137.2999999999993</v>
      </c>
      <c r="C67" s="126">
        <v>4891.75</v>
      </c>
      <c r="D67" s="126">
        <v>12668.47</v>
      </c>
      <c r="E67" s="126">
        <v>6302.59</v>
      </c>
      <c r="F67" s="126">
        <v>12302.59</v>
      </c>
      <c r="G67" s="126">
        <v>12302.59</v>
      </c>
      <c r="H67" s="126">
        <v>12302.59</v>
      </c>
      <c r="I67" s="126">
        <v>12302.59</v>
      </c>
      <c r="J67" s="126">
        <v>12302.59</v>
      </c>
      <c r="K67" s="126">
        <v>3502.59</v>
      </c>
      <c r="L67" s="126">
        <v>12302.59</v>
      </c>
      <c r="M67" s="126">
        <v>3602.59</v>
      </c>
      <c r="N67" s="127"/>
    </row>
    <row r="68" spans="1:14" ht="23" customHeight="1">
      <c r="A68" s="128" t="s">
        <v>136</v>
      </c>
      <c r="B68" s="126">
        <v>938.9</v>
      </c>
      <c r="C68" s="126">
        <v>938.9</v>
      </c>
      <c r="D68" s="126">
        <v>1029.52</v>
      </c>
      <c r="E68" s="126">
        <v>984.21</v>
      </c>
      <c r="F68" s="126">
        <v>984.21</v>
      </c>
      <c r="G68" s="126">
        <v>984.21</v>
      </c>
      <c r="H68" s="126">
        <v>984.21</v>
      </c>
      <c r="I68" s="126">
        <v>984.21</v>
      </c>
      <c r="J68" s="126">
        <v>984.21</v>
      </c>
      <c r="K68" s="126">
        <v>984.21</v>
      </c>
      <c r="L68" s="126">
        <v>984.21</v>
      </c>
      <c r="M68" s="126">
        <v>984.21</v>
      </c>
      <c r="N68" s="127"/>
    </row>
    <row r="69" spans="1:14" ht="23" customHeight="1">
      <c r="A69" s="128" t="s">
        <v>137</v>
      </c>
      <c r="B69" s="126">
        <v>1567.47</v>
      </c>
      <c r="C69" s="126">
        <v>1631.48</v>
      </c>
      <c r="D69" s="126">
        <v>1631.48</v>
      </c>
      <c r="E69" s="126">
        <v>1631.48</v>
      </c>
      <c r="F69" s="126">
        <v>1631.48</v>
      </c>
      <c r="G69" s="126">
        <v>1631.48</v>
      </c>
      <c r="H69" s="126">
        <v>1631.48</v>
      </c>
      <c r="I69" s="126">
        <v>1631.48</v>
      </c>
      <c r="J69" s="126">
        <v>1631.48</v>
      </c>
      <c r="K69" s="126">
        <v>1631.48</v>
      </c>
      <c r="L69" s="126">
        <v>1631.48</v>
      </c>
      <c r="M69" s="126">
        <v>1631.01</v>
      </c>
      <c r="N69" s="127"/>
    </row>
    <row r="70" spans="1:14" ht="23" customHeight="1">
      <c r="A70" s="128" t="s">
        <v>138</v>
      </c>
      <c r="B70" s="126">
        <v>5565.49</v>
      </c>
      <c r="C70" s="126">
        <v>5565.49</v>
      </c>
      <c r="D70" s="126">
        <v>6996.77</v>
      </c>
      <c r="E70" s="126">
        <v>6996.77</v>
      </c>
      <c r="F70" s="126">
        <v>6996.77</v>
      </c>
      <c r="G70" s="126">
        <v>6972.38</v>
      </c>
      <c r="H70" s="126">
        <v>6972.38</v>
      </c>
      <c r="I70" s="126">
        <v>6972.38</v>
      </c>
      <c r="J70" s="126">
        <v>6972.38</v>
      </c>
      <c r="K70" s="126">
        <v>6972.38</v>
      </c>
      <c r="L70" s="126">
        <v>6972.38</v>
      </c>
      <c r="M70" s="126">
        <v>6972.38</v>
      </c>
      <c r="N70" s="127"/>
    </row>
    <row r="71" spans="1:14" ht="23" customHeight="1">
      <c r="A71" s="128" t="s">
        <v>139</v>
      </c>
      <c r="B71" s="126">
        <v>2664.77</v>
      </c>
      <c r="C71" s="126">
        <v>2537.77</v>
      </c>
      <c r="D71" s="126">
        <v>2462.77</v>
      </c>
      <c r="E71" s="126">
        <v>2600.91</v>
      </c>
      <c r="F71" s="126">
        <v>2780.91</v>
      </c>
      <c r="G71" s="126">
        <v>2787.91</v>
      </c>
      <c r="H71" s="126">
        <v>2660.91</v>
      </c>
      <c r="I71" s="126">
        <v>2652.91</v>
      </c>
      <c r="J71" s="126">
        <v>2667.91</v>
      </c>
      <c r="K71" s="126">
        <v>3100.91</v>
      </c>
      <c r="L71" s="126">
        <v>2659.91</v>
      </c>
      <c r="M71" s="126">
        <v>2757.91</v>
      </c>
      <c r="N71" s="127"/>
    </row>
    <row r="72" spans="1:14" ht="23" customHeight="1">
      <c r="A72" s="128" t="s">
        <v>140</v>
      </c>
      <c r="B72" s="126">
        <v>704.92</v>
      </c>
      <c r="C72" s="126">
        <v>782.9</v>
      </c>
      <c r="D72" s="126">
        <v>782.9</v>
      </c>
      <c r="E72" s="126">
        <v>782.9</v>
      </c>
      <c r="F72" s="126">
        <v>782.9</v>
      </c>
      <c r="G72" s="126">
        <v>782.9</v>
      </c>
      <c r="H72" s="126">
        <v>782.9</v>
      </c>
      <c r="I72" s="126">
        <v>802.2</v>
      </c>
      <c r="J72" s="126">
        <v>782.9</v>
      </c>
      <c r="K72" s="126">
        <v>782.9</v>
      </c>
      <c r="L72" s="126">
        <v>782.9</v>
      </c>
      <c r="M72" s="126">
        <v>782.9</v>
      </c>
      <c r="N72" s="127"/>
    </row>
    <row r="73" spans="1:14" ht="23" customHeight="1">
      <c r="A73" s="129" t="s">
        <v>259</v>
      </c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7"/>
    </row>
    <row r="74" spans="1:14" ht="23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32"/>
    </row>
    <row r="75" spans="1:14" ht="23" customHeight="1">
      <c r="A75" s="151" t="s">
        <v>260</v>
      </c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32"/>
    </row>
    <row r="76" spans="1:14" ht="23" customHeight="1">
      <c r="A76" s="151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32"/>
    </row>
    <row r="77" spans="1:14" ht="21" customHeight="1">
      <c r="A77" s="128" t="s">
        <v>132</v>
      </c>
      <c r="B77" s="126">
        <v>567.1</v>
      </c>
      <c r="C77" s="126">
        <v>567.1</v>
      </c>
      <c r="D77" s="126">
        <v>623.9</v>
      </c>
      <c r="E77" s="126">
        <v>595.5</v>
      </c>
      <c r="F77" s="126">
        <v>595.5</v>
      </c>
      <c r="G77" s="126">
        <v>595.5</v>
      </c>
      <c r="H77" s="126">
        <v>595.5</v>
      </c>
      <c r="I77" s="126">
        <v>595.5</v>
      </c>
      <c r="J77" s="126">
        <v>595.5</v>
      </c>
      <c r="K77" s="126">
        <v>595.5</v>
      </c>
      <c r="L77" s="126">
        <v>595.5</v>
      </c>
      <c r="M77" s="126">
        <v>595.5</v>
      </c>
      <c r="N77" s="127"/>
    </row>
    <row r="78" spans="1:14" ht="21" customHeight="1">
      <c r="A78" s="154" t="s">
        <v>143</v>
      </c>
      <c r="B78" s="126">
        <v>0</v>
      </c>
      <c r="C78" s="126">
        <v>0</v>
      </c>
      <c r="D78" s="126">
        <v>9952.6</v>
      </c>
      <c r="E78" s="126">
        <v>0</v>
      </c>
      <c r="F78" s="126"/>
      <c r="G78" s="126"/>
      <c r="H78" s="126"/>
      <c r="I78" s="126"/>
      <c r="J78" s="126"/>
      <c r="K78" s="126"/>
      <c r="L78" s="126"/>
      <c r="M78" s="126"/>
      <c r="N78" s="127"/>
    </row>
    <row r="79" spans="1:14" ht="21" customHeight="1">
      <c r="A79" s="128" t="s">
        <v>144</v>
      </c>
      <c r="B79" s="126">
        <v>8911.5</v>
      </c>
      <c r="C79" s="126">
        <v>8911.5</v>
      </c>
      <c r="D79" s="126">
        <v>9802.07</v>
      </c>
      <c r="E79" s="126">
        <v>9357.1</v>
      </c>
      <c r="F79" s="126">
        <v>9357.1</v>
      </c>
      <c r="G79" s="126">
        <v>9357.1</v>
      </c>
      <c r="H79" s="126">
        <v>9357.1</v>
      </c>
      <c r="I79" s="126">
        <v>9357.1</v>
      </c>
      <c r="J79" s="126">
        <v>9357.1</v>
      </c>
      <c r="K79" s="126">
        <v>9357.1</v>
      </c>
      <c r="L79" s="126">
        <v>9357.1</v>
      </c>
      <c r="M79" s="126">
        <v>9357.1</v>
      </c>
      <c r="N79" s="127"/>
    </row>
    <row r="80" spans="1:14" ht="21" customHeight="1">
      <c r="A80" s="128" t="s">
        <v>136</v>
      </c>
      <c r="B80" s="126">
        <v>713</v>
      </c>
      <c r="C80" s="126">
        <v>748.6</v>
      </c>
      <c r="D80" s="126">
        <v>748.6</v>
      </c>
      <c r="E80" s="126">
        <v>748.6</v>
      </c>
      <c r="F80" s="126">
        <v>748.6</v>
      </c>
      <c r="G80" s="126">
        <v>748.6</v>
      </c>
      <c r="H80" s="126">
        <v>748.6</v>
      </c>
      <c r="I80" s="126">
        <v>748.6</v>
      </c>
      <c r="J80" s="126">
        <v>748.6</v>
      </c>
      <c r="K80" s="126">
        <v>748.6</v>
      </c>
      <c r="L80" s="126">
        <v>748.6</v>
      </c>
      <c r="M80" s="126">
        <v>748.6</v>
      </c>
      <c r="N80" s="127"/>
    </row>
    <row r="81" spans="1:14" ht="21" customHeight="1">
      <c r="A81" s="128" t="s">
        <v>137</v>
      </c>
      <c r="B81" s="126">
        <v>1567.47</v>
      </c>
      <c r="C81" s="126">
        <v>1631.48</v>
      </c>
      <c r="D81" s="126">
        <v>1631.48</v>
      </c>
      <c r="E81" s="126">
        <v>1631.48</v>
      </c>
      <c r="F81" s="126">
        <v>1631.48</v>
      </c>
      <c r="G81" s="126">
        <v>1631.48</v>
      </c>
      <c r="H81" s="126">
        <v>1631.48</v>
      </c>
      <c r="I81" s="126">
        <v>1631.48</v>
      </c>
      <c r="J81" s="126">
        <v>1631.48</v>
      </c>
      <c r="K81" s="126">
        <v>1631.48</v>
      </c>
      <c r="L81" s="126">
        <v>1631.48</v>
      </c>
      <c r="M81" s="126">
        <v>1631.48</v>
      </c>
      <c r="N81" s="127"/>
    </row>
    <row r="82" spans="1:14" ht="20">
      <c r="A82" s="128" t="s">
        <v>138</v>
      </c>
      <c r="B82" s="126">
        <v>1555.13</v>
      </c>
      <c r="C82" s="126">
        <v>1555.13</v>
      </c>
      <c r="D82" s="126">
        <v>1555.13</v>
      </c>
      <c r="E82" s="126">
        <v>1685.65</v>
      </c>
      <c r="F82" s="126">
        <v>1685.65</v>
      </c>
      <c r="G82" s="126">
        <v>1685.65</v>
      </c>
      <c r="H82" s="126">
        <v>1661.26</v>
      </c>
      <c r="I82" s="126">
        <v>1661.26</v>
      </c>
      <c r="J82" s="126">
        <v>1661.26</v>
      </c>
      <c r="K82" s="126">
        <v>1661.26</v>
      </c>
      <c r="L82" s="126">
        <v>1661.26</v>
      </c>
      <c r="M82" s="126">
        <v>1661.26</v>
      </c>
      <c r="N82" s="127"/>
    </row>
    <row r="83" spans="1:14" ht="21" customHeight="1">
      <c r="A83" s="128" t="s">
        <v>139</v>
      </c>
      <c r="B83" s="126">
        <v>1197.33</v>
      </c>
      <c r="C83" s="126">
        <v>1197.33</v>
      </c>
      <c r="D83" s="126">
        <v>1317.07</v>
      </c>
      <c r="E83" s="126">
        <v>1257.2</v>
      </c>
      <c r="F83" s="126">
        <v>1257.2</v>
      </c>
      <c r="G83" s="126">
        <v>1257.2</v>
      </c>
      <c r="H83" s="126">
        <v>1257.2</v>
      </c>
      <c r="I83" s="126">
        <v>1257.2</v>
      </c>
      <c r="J83" s="126">
        <v>1257.2</v>
      </c>
      <c r="K83" s="126">
        <v>1257.2</v>
      </c>
      <c r="L83" s="126">
        <v>1257.2</v>
      </c>
      <c r="M83" s="126">
        <v>1257.2</v>
      </c>
      <c r="N83" s="127"/>
    </row>
    <row r="84" spans="1:14" ht="21" customHeight="1">
      <c r="A84" s="128" t="s">
        <v>146</v>
      </c>
      <c r="B84" s="126">
        <v>0</v>
      </c>
      <c r="C84" s="126">
        <v>0</v>
      </c>
      <c r="D84" s="126">
        <v>0</v>
      </c>
      <c r="E84" s="126">
        <v>0</v>
      </c>
      <c r="F84" s="126"/>
      <c r="G84" s="126"/>
      <c r="H84" s="126"/>
      <c r="I84" s="126"/>
      <c r="J84" s="126"/>
      <c r="K84" s="126"/>
      <c r="L84" s="126">
        <v>4976.3</v>
      </c>
      <c r="M84" s="126">
        <v>4976.3</v>
      </c>
      <c r="N84" s="127"/>
    </row>
    <row r="85" spans="1:14" ht="21" customHeight="1">
      <c r="A85" s="128" t="s">
        <v>147</v>
      </c>
      <c r="B85" s="126">
        <v>0</v>
      </c>
      <c r="C85" s="126">
        <v>0</v>
      </c>
      <c r="D85" s="126">
        <v>0</v>
      </c>
      <c r="E85" s="126">
        <v>0</v>
      </c>
      <c r="F85" s="126"/>
      <c r="G85" s="126">
        <v>3317.53</v>
      </c>
      <c r="H85" s="126"/>
      <c r="I85" s="126"/>
      <c r="J85" s="126"/>
      <c r="K85" s="126"/>
      <c r="L85" s="126"/>
      <c r="M85" s="126"/>
      <c r="N85" s="127"/>
    </row>
    <row r="86" spans="1:14" ht="21" customHeight="1">
      <c r="A86" s="129" t="s">
        <v>261</v>
      </c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7"/>
    </row>
    <row r="87" spans="1:14" ht="21" customHeight="1">
      <c r="A87" s="125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32"/>
    </row>
    <row r="88" spans="1:14" ht="21" customHeight="1">
      <c r="A88" s="151" t="s">
        <v>262</v>
      </c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32"/>
    </row>
    <row r="89" spans="1:14" ht="21" customHeight="1">
      <c r="A89" s="125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32"/>
    </row>
    <row r="90" spans="1:14" ht="21" customHeight="1">
      <c r="A90" s="128" t="s">
        <v>150</v>
      </c>
      <c r="B90" s="126">
        <v>500</v>
      </c>
      <c r="C90" s="126">
        <v>500</v>
      </c>
      <c r="D90" s="126">
        <v>3773.84</v>
      </c>
      <c r="E90" s="126">
        <v>2136.92</v>
      </c>
      <c r="F90" s="126">
        <v>2136.92</v>
      </c>
      <c r="G90" s="126">
        <v>2136.92</v>
      </c>
      <c r="H90" s="126">
        <v>2136.92</v>
      </c>
      <c r="I90" s="126">
        <v>2136.92</v>
      </c>
      <c r="J90" s="126">
        <v>2136.92</v>
      </c>
      <c r="K90" s="126">
        <v>2136.92</v>
      </c>
      <c r="L90" s="126">
        <v>2136.92</v>
      </c>
      <c r="M90" s="126">
        <v>2136.92</v>
      </c>
      <c r="N90" s="127"/>
    </row>
    <row r="91" spans="1:14" ht="21" customHeight="1">
      <c r="A91" s="128" t="s">
        <v>151</v>
      </c>
      <c r="B91" s="126">
        <v>7600</v>
      </c>
      <c r="C91" s="126">
        <v>7600</v>
      </c>
      <c r="D91" s="126">
        <v>8339.16</v>
      </c>
      <c r="E91" s="126">
        <v>7967.08</v>
      </c>
      <c r="F91" s="126">
        <v>7967.08</v>
      </c>
      <c r="G91" s="126">
        <v>7967.08</v>
      </c>
      <c r="H91" s="126">
        <v>7967.08</v>
      </c>
      <c r="I91" s="126">
        <v>7967.08</v>
      </c>
      <c r="J91" s="126">
        <v>7967.08</v>
      </c>
      <c r="K91" s="126">
        <v>7967.08</v>
      </c>
      <c r="L91" s="126">
        <v>7967.08</v>
      </c>
      <c r="M91" s="126">
        <v>7967.08</v>
      </c>
      <c r="N91" s="127"/>
    </row>
    <row r="92" spans="1:14" ht="21" customHeight="1">
      <c r="A92" s="128" t="s">
        <v>136</v>
      </c>
      <c r="B92" s="126">
        <v>608</v>
      </c>
      <c r="C92" s="126">
        <v>637.37</v>
      </c>
      <c r="D92" s="126">
        <v>637.37</v>
      </c>
      <c r="E92" s="126">
        <v>637.37</v>
      </c>
      <c r="F92" s="126">
        <v>637.37</v>
      </c>
      <c r="G92" s="126">
        <v>637.37</v>
      </c>
      <c r="H92" s="126">
        <v>637.37</v>
      </c>
      <c r="I92" s="126">
        <v>637.37</v>
      </c>
      <c r="J92" s="126">
        <v>637.37</v>
      </c>
      <c r="K92" s="126">
        <v>637.37</v>
      </c>
      <c r="L92" s="126">
        <v>637.37</v>
      </c>
      <c r="M92" s="126">
        <v>637.37</v>
      </c>
      <c r="N92" s="127"/>
    </row>
    <row r="93" spans="1:14" ht="21" customHeight="1">
      <c r="A93" s="128" t="s">
        <v>152</v>
      </c>
      <c r="B93" s="126">
        <v>0</v>
      </c>
      <c r="C93" s="126">
        <v>0</v>
      </c>
      <c r="D93" s="126">
        <v>0</v>
      </c>
      <c r="E93" s="126">
        <v>7000</v>
      </c>
      <c r="F93" s="126">
        <v>0</v>
      </c>
      <c r="G93" s="126">
        <v>0</v>
      </c>
      <c r="H93" s="126"/>
      <c r="I93" s="126"/>
      <c r="J93" s="126"/>
      <c r="K93" s="126"/>
      <c r="L93" s="126"/>
      <c r="M93" s="126"/>
      <c r="N93" s="127"/>
    </row>
    <row r="94" spans="1:14" ht="21" customHeight="1">
      <c r="A94" s="128" t="s">
        <v>137</v>
      </c>
      <c r="B94" s="126">
        <v>1567.47</v>
      </c>
      <c r="C94" s="126">
        <v>1631.48</v>
      </c>
      <c r="D94" s="126">
        <v>1631.48</v>
      </c>
      <c r="E94" s="126">
        <v>1631.48</v>
      </c>
      <c r="F94" s="126">
        <v>1631.48</v>
      </c>
      <c r="G94" s="126">
        <v>1631.48</v>
      </c>
      <c r="H94" s="126">
        <v>1631.48</v>
      </c>
      <c r="I94" s="126">
        <v>1631.48</v>
      </c>
      <c r="J94" s="126">
        <v>1631.48</v>
      </c>
      <c r="K94" s="126">
        <v>1631.48</v>
      </c>
      <c r="L94" s="126">
        <v>1631.48</v>
      </c>
      <c r="M94" s="126">
        <v>1631.48</v>
      </c>
      <c r="N94" s="127"/>
    </row>
    <row r="95" spans="1:14" ht="21" customHeight="1">
      <c r="A95" s="128" t="s">
        <v>138</v>
      </c>
      <c r="B95" s="126">
        <v>1175.0899999999999</v>
      </c>
      <c r="C95" s="126">
        <v>1175.0899999999999</v>
      </c>
      <c r="D95" s="126">
        <v>1175.0899999999999</v>
      </c>
      <c r="E95" s="126">
        <v>1726.19</v>
      </c>
      <c r="F95" s="126">
        <v>1726.19</v>
      </c>
      <c r="G95" s="126">
        <v>1702.89</v>
      </c>
      <c r="H95" s="126">
        <v>1726.19</v>
      </c>
      <c r="I95" s="126">
        <v>1702.89</v>
      </c>
      <c r="J95" s="126">
        <v>1702.89</v>
      </c>
      <c r="K95" s="126">
        <v>1702.89</v>
      </c>
      <c r="L95" s="126">
        <v>1702.89</v>
      </c>
      <c r="M95" s="126">
        <v>1702.89</v>
      </c>
      <c r="N95" s="127"/>
    </row>
    <row r="96" spans="1:14" ht="21" customHeight="1">
      <c r="A96" s="128" t="s">
        <v>139</v>
      </c>
      <c r="B96" s="126">
        <v>991.49</v>
      </c>
      <c r="C96" s="126">
        <v>991.49</v>
      </c>
      <c r="D96" s="126">
        <v>2876.8</v>
      </c>
      <c r="E96" s="126">
        <v>1268.29</v>
      </c>
      <c r="F96" s="126">
        <v>1268.29</v>
      </c>
      <c r="G96" s="126">
        <v>1358.2</v>
      </c>
      <c r="H96" s="126">
        <v>1600.64</v>
      </c>
      <c r="I96" s="126">
        <v>1443.79</v>
      </c>
      <c r="J96" s="126">
        <v>1301.8900000000001</v>
      </c>
      <c r="K96" s="126">
        <v>1301.8900000000001</v>
      </c>
      <c r="L96" s="126">
        <v>1301.8900000000001</v>
      </c>
      <c r="M96" s="126">
        <v>1301.8900000000001</v>
      </c>
      <c r="N96" s="127"/>
    </row>
    <row r="97" spans="1:14" ht="21" customHeight="1">
      <c r="A97" s="128" t="s">
        <v>146</v>
      </c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>
        <v>5052</v>
      </c>
      <c r="M97" s="126">
        <v>5052</v>
      </c>
      <c r="N97" s="127"/>
    </row>
    <row r="98" spans="1:14" ht="21" customHeight="1">
      <c r="A98" s="128" t="s">
        <v>153</v>
      </c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>
        <v>1122.67</v>
      </c>
      <c r="N98" s="127"/>
    </row>
    <row r="99" spans="1:14" ht="21" customHeight="1">
      <c r="A99" s="129" t="s">
        <v>176</v>
      </c>
      <c r="B99" s="127">
        <f>SUM(B63:B98)</f>
        <v>74429.77</v>
      </c>
      <c r="C99" s="127">
        <f>SUM(C63:C98)</f>
        <v>64469.279999999999</v>
      </c>
      <c r="D99" s="127">
        <f>SUM(D63:D98)</f>
        <v>80355.329999999987</v>
      </c>
      <c r="E99" s="127">
        <f>SUM(E63:E98)</f>
        <v>74786.64</v>
      </c>
      <c r="F99" s="127">
        <f>SUM(F63:F98)</f>
        <v>73980.51999999999</v>
      </c>
      <c r="G99" s="127">
        <f>SUM(G63:G98)</f>
        <v>77374.469999999972</v>
      </c>
      <c r="H99" s="127">
        <f>SUM(H63:H98)</f>
        <v>74114.669999999984</v>
      </c>
      <c r="I99" s="127">
        <f>SUM(I63:I98)</f>
        <v>73944.909999999974</v>
      </c>
      <c r="J99" s="127">
        <f>SUM(J63:J98)</f>
        <v>82022.599999999991</v>
      </c>
      <c r="K99" s="127">
        <f>SUM(K63:K98)</f>
        <v>74128.199999999983</v>
      </c>
      <c r="L99" s="127">
        <f>SUM(L63:L98)</f>
        <v>92564.739999999991</v>
      </c>
      <c r="M99" s="127">
        <f>SUM(M63:M98)</f>
        <v>87715.529999999984</v>
      </c>
      <c r="N99" s="131">
        <f>SUM(B99:M99)</f>
        <v>929886.6599999998</v>
      </c>
    </row>
    <row r="100" spans="1:14" ht="20" customHeight="1">
      <c r="A100" s="155" t="s">
        <v>263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7"/>
    </row>
    <row r="101" spans="1:14" ht="20" customHeight="1">
      <c r="A101" s="154" t="s">
        <v>264</v>
      </c>
      <c r="B101" s="126">
        <v>0</v>
      </c>
      <c r="C101" s="126">
        <v>1500</v>
      </c>
      <c r="D101" s="126">
        <v>2500</v>
      </c>
      <c r="E101" s="126">
        <v>2544.33</v>
      </c>
      <c r="F101" s="126">
        <v>2544.33</v>
      </c>
      <c r="G101" s="126">
        <v>2544.33</v>
      </c>
      <c r="H101" s="126">
        <v>2544.33</v>
      </c>
      <c r="I101" s="126">
        <v>2544.33</v>
      </c>
      <c r="J101" s="126">
        <v>2544.33</v>
      </c>
      <c r="K101" s="126">
        <v>2544.33</v>
      </c>
      <c r="L101" s="126">
        <v>2544.33</v>
      </c>
      <c r="M101" s="126">
        <v>2544.33</v>
      </c>
      <c r="N101" s="127"/>
    </row>
    <row r="102" spans="1:14" ht="20" customHeight="1">
      <c r="A102" s="154" t="s">
        <v>265</v>
      </c>
      <c r="B102" s="126">
        <v>0</v>
      </c>
      <c r="C102" s="126">
        <v>0</v>
      </c>
      <c r="D102" s="126">
        <v>0</v>
      </c>
      <c r="E102" s="126">
        <v>544.33000000000004</v>
      </c>
      <c r="F102" s="126">
        <v>0</v>
      </c>
      <c r="G102" s="126">
        <v>0</v>
      </c>
      <c r="H102" s="126"/>
      <c r="I102" s="126"/>
      <c r="J102" s="126"/>
      <c r="K102" s="126"/>
      <c r="L102" s="126"/>
      <c r="M102" s="126"/>
      <c r="N102" s="127"/>
    </row>
    <row r="103" spans="1:14" ht="20" customHeight="1">
      <c r="A103" s="154" t="s">
        <v>266</v>
      </c>
      <c r="B103" s="126">
        <v>1440</v>
      </c>
      <c r="C103" s="126">
        <v>0</v>
      </c>
      <c r="D103" s="126">
        <v>540</v>
      </c>
      <c r="E103" s="126">
        <v>0</v>
      </c>
      <c r="F103" s="126">
        <v>0</v>
      </c>
      <c r="G103" s="126">
        <v>0</v>
      </c>
      <c r="H103" s="126"/>
      <c r="I103" s="126"/>
      <c r="J103" s="126"/>
      <c r="K103" s="126"/>
      <c r="L103" s="126"/>
      <c r="M103" s="126"/>
      <c r="N103" s="127"/>
    </row>
    <row r="104" spans="1:14" ht="21" customHeight="1">
      <c r="A104" s="125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32"/>
    </row>
    <row r="105" spans="1:14" ht="21" customHeight="1">
      <c r="A105" s="151" t="s">
        <v>267</v>
      </c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32"/>
    </row>
    <row r="106" spans="1:14" ht="21" customHeight="1">
      <c r="A106" s="125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32"/>
    </row>
    <row r="107" spans="1:14" ht="21" customHeight="1">
      <c r="A107" s="128" t="s">
        <v>156</v>
      </c>
      <c r="B107" s="126">
        <v>2118</v>
      </c>
      <c r="C107" s="126">
        <v>2118</v>
      </c>
      <c r="D107" s="126">
        <v>2277</v>
      </c>
      <c r="E107" s="126">
        <v>2277</v>
      </c>
      <c r="F107" s="126">
        <v>2277</v>
      </c>
      <c r="G107" s="126">
        <v>2277</v>
      </c>
      <c r="H107" s="126">
        <v>2277</v>
      </c>
      <c r="I107" s="126">
        <v>2277</v>
      </c>
      <c r="J107" s="126">
        <v>2277</v>
      </c>
      <c r="K107" s="126">
        <v>2277</v>
      </c>
      <c r="L107" s="126">
        <v>2952.83</v>
      </c>
      <c r="M107" s="126">
        <v>2277</v>
      </c>
      <c r="N107" s="132"/>
    </row>
    <row r="108" spans="1:14" ht="21" customHeight="1">
      <c r="A108" s="128" t="s">
        <v>157</v>
      </c>
      <c r="B108" s="126">
        <v>160</v>
      </c>
      <c r="C108" s="126">
        <v>160</v>
      </c>
      <c r="D108" s="126">
        <v>160</v>
      </c>
      <c r="E108" s="126">
        <v>160</v>
      </c>
      <c r="F108" s="126">
        <v>160</v>
      </c>
      <c r="G108" s="126">
        <v>160</v>
      </c>
      <c r="H108" s="126">
        <v>160</v>
      </c>
      <c r="I108" s="126">
        <v>160</v>
      </c>
      <c r="J108" s="126">
        <v>160</v>
      </c>
      <c r="K108" s="126">
        <v>160</v>
      </c>
      <c r="L108" s="126">
        <v>160</v>
      </c>
      <c r="M108" s="126">
        <v>160</v>
      </c>
      <c r="N108" s="132"/>
    </row>
    <row r="109" spans="1:14" ht="21" customHeight="1">
      <c r="A109" s="128" t="s">
        <v>158</v>
      </c>
      <c r="B109" s="126">
        <v>870</v>
      </c>
      <c r="C109" s="126">
        <v>870</v>
      </c>
      <c r="D109" s="126">
        <v>870</v>
      </c>
      <c r="E109" s="126">
        <v>870</v>
      </c>
      <c r="F109" s="126">
        <v>870</v>
      </c>
      <c r="G109" s="126">
        <v>870</v>
      </c>
      <c r="H109" s="126">
        <v>870</v>
      </c>
      <c r="I109" s="126">
        <v>870</v>
      </c>
      <c r="J109" s="126">
        <v>870</v>
      </c>
      <c r="K109" s="126">
        <v>870</v>
      </c>
      <c r="L109" s="126">
        <v>870</v>
      </c>
      <c r="M109" s="126">
        <v>894.9</v>
      </c>
      <c r="N109" s="132"/>
    </row>
    <row r="110" spans="1:14" ht="21" customHeight="1">
      <c r="A110" s="128" t="s">
        <v>159</v>
      </c>
      <c r="B110" s="126">
        <v>786</v>
      </c>
      <c r="C110" s="126">
        <v>786</v>
      </c>
      <c r="D110" s="126">
        <v>786</v>
      </c>
      <c r="E110" s="126">
        <v>786</v>
      </c>
      <c r="F110" s="126">
        <v>786</v>
      </c>
      <c r="G110" s="126">
        <v>786</v>
      </c>
      <c r="H110" s="126">
        <v>786</v>
      </c>
      <c r="I110" s="126">
        <v>786</v>
      </c>
      <c r="J110" s="126">
        <v>786</v>
      </c>
      <c r="K110" s="126">
        <v>786</v>
      </c>
      <c r="L110" s="126">
        <v>786</v>
      </c>
      <c r="M110" s="126">
        <v>786</v>
      </c>
      <c r="N110" s="132"/>
    </row>
    <row r="111" spans="1:14" ht="21" customHeight="1">
      <c r="A111" s="128" t="s">
        <v>160</v>
      </c>
      <c r="B111" s="126">
        <v>0</v>
      </c>
      <c r="C111" s="126">
        <v>0</v>
      </c>
      <c r="D111" s="126">
        <v>3050.5</v>
      </c>
      <c r="E111" s="126">
        <v>3145</v>
      </c>
      <c r="F111" s="126">
        <v>2516</v>
      </c>
      <c r="G111" s="126">
        <v>2844.2</v>
      </c>
      <c r="H111" s="126">
        <v>3437.7</v>
      </c>
      <c r="I111" s="126">
        <v>1311.6</v>
      </c>
      <c r="J111" s="126">
        <v>2922.7</v>
      </c>
      <c r="K111" s="126">
        <v>1976.84</v>
      </c>
      <c r="L111" s="126">
        <v>2140.7600000000002</v>
      </c>
      <c r="M111" s="126">
        <v>1518.92</v>
      </c>
      <c r="N111" s="126"/>
    </row>
    <row r="112" spans="1:14" ht="21" customHeight="1">
      <c r="A112" s="125" t="s">
        <v>161</v>
      </c>
      <c r="B112" s="126">
        <v>0</v>
      </c>
      <c r="C112" s="126">
        <v>0</v>
      </c>
      <c r="D112" s="126">
        <v>600</v>
      </c>
      <c r="E112" s="126">
        <v>300</v>
      </c>
      <c r="F112" s="126">
        <v>500</v>
      </c>
      <c r="G112" s="126">
        <v>428.2</v>
      </c>
      <c r="H112" s="126">
        <v>305.02</v>
      </c>
      <c r="I112" s="126">
        <v>401.5</v>
      </c>
      <c r="J112" s="126">
        <v>436.1</v>
      </c>
      <c r="K112" s="126">
        <v>603.83000000000004</v>
      </c>
      <c r="L112" s="126">
        <v>1178.8599999999999</v>
      </c>
      <c r="M112" s="132">
        <v>1499.64</v>
      </c>
      <c r="N112" s="126"/>
    </row>
    <row r="113" spans="1:14" ht="21" customHeight="1">
      <c r="A113" s="156" t="s">
        <v>162</v>
      </c>
      <c r="B113" s="126"/>
      <c r="C113" s="126"/>
      <c r="D113" s="126"/>
      <c r="E113" s="126"/>
      <c r="F113" s="126"/>
      <c r="G113" s="126"/>
      <c r="H113" s="126">
        <v>1301.6300000000001</v>
      </c>
      <c r="I113" s="126">
        <v>1512.1</v>
      </c>
      <c r="J113" s="126">
        <v>946.41</v>
      </c>
      <c r="K113" s="126">
        <v>885.88</v>
      </c>
      <c r="L113" s="126">
        <v>1445.44</v>
      </c>
      <c r="M113" s="126">
        <v>800.63</v>
      </c>
      <c r="N113" s="132"/>
    </row>
    <row r="114" spans="1:14" ht="21" customHeight="1">
      <c r="A114" s="125" t="s">
        <v>163</v>
      </c>
      <c r="B114" s="126">
        <v>0</v>
      </c>
      <c r="C114" s="126">
        <v>0</v>
      </c>
      <c r="D114" s="126">
        <v>300</v>
      </c>
      <c r="E114" s="126">
        <v>300</v>
      </c>
      <c r="F114" s="126">
        <v>85</v>
      </c>
      <c r="G114" s="126">
        <v>85</v>
      </c>
      <c r="H114" s="126">
        <v>87.28</v>
      </c>
      <c r="I114" s="126">
        <v>265.08999999999997</v>
      </c>
      <c r="J114" s="126">
        <v>131.55000000000001</v>
      </c>
      <c r="K114" s="126">
        <v>80</v>
      </c>
      <c r="L114" s="126">
        <v>165</v>
      </c>
      <c r="M114" s="126">
        <v>143.5</v>
      </c>
      <c r="N114" s="132"/>
    </row>
    <row r="115" spans="1:14" ht="21" customHeight="1">
      <c r="A115" s="125" t="s">
        <v>164</v>
      </c>
      <c r="B115" s="126">
        <v>0</v>
      </c>
      <c r="C115" s="126">
        <v>0</v>
      </c>
      <c r="D115" s="126">
        <v>200</v>
      </c>
      <c r="E115" s="126">
        <v>0</v>
      </c>
      <c r="F115" s="126">
        <v>0</v>
      </c>
      <c r="G115" s="126">
        <v>0</v>
      </c>
      <c r="H115" s="126"/>
      <c r="I115" s="126"/>
      <c r="J115" s="126">
        <v>350</v>
      </c>
      <c r="K115" s="126"/>
      <c r="L115" s="126"/>
      <c r="M115" s="126"/>
      <c r="N115" s="132"/>
    </row>
    <row r="116" spans="1:14" ht="25" customHeight="1">
      <c r="A116" s="125" t="s">
        <v>268</v>
      </c>
      <c r="B116" s="126">
        <v>0</v>
      </c>
      <c r="C116" s="126">
        <v>0</v>
      </c>
      <c r="D116" s="126">
        <v>0</v>
      </c>
      <c r="E116" s="126">
        <v>0</v>
      </c>
      <c r="F116" s="126">
        <v>0</v>
      </c>
      <c r="G116" s="126">
        <v>0</v>
      </c>
      <c r="H116" s="126"/>
      <c r="I116" s="126"/>
      <c r="J116" s="126"/>
      <c r="K116" s="126"/>
      <c r="L116" s="126"/>
      <c r="M116" s="126"/>
      <c r="N116" s="132"/>
    </row>
    <row r="117" spans="1:14" ht="24" customHeight="1">
      <c r="A117" s="125" t="s">
        <v>165</v>
      </c>
      <c r="B117" s="126">
        <v>0</v>
      </c>
      <c r="C117" s="126">
        <v>0</v>
      </c>
      <c r="D117" s="126">
        <v>0</v>
      </c>
      <c r="E117" s="126">
        <v>0</v>
      </c>
      <c r="F117" s="126">
        <v>1209.9000000000001</v>
      </c>
      <c r="G117" s="126">
        <v>748.16</v>
      </c>
      <c r="H117" s="126"/>
      <c r="I117" s="126"/>
      <c r="J117" s="126"/>
      <c r="K117" s="126"/>
      <c r="L117" s="126"/>
      <c r="M117" s="126"/>
      <c r="N117" s="132"/>
    </row>
    <row r="118" spans="1:14" ht="19">
      <c r="A118" s="125" t="s">
        <v>166</v>
      </c>
      <c r="B118" s="126">
        <v>0</v>
      </c>
      <c r="C118" s="126">
        <v>0</v>
      </c>
      <c r="D118" s="126">
        <v>0</v>
      </c>
      <c r="E118" s="126">
        <v>100</v>
      </c>
      <c r="F118" s="126">
        <v>100.94</v>
      </c>
      <c r="G118" s="126">
        <v>133.5</v>
      </c>
      <c r="H118" s="126">
        <v>107.7</v>
      </c>
      <c r="I118" s="126">
        <v>93.82</v>
      </c>
      <c r="J118" s="126">
        <v>78.55</v>
      </c>
      <c r="K118" s="126"/>
      <c r="L118" s="126">
        <v>41.76</v>
      </c>
      <c r="M118" s="126">
        <v>54.9</v>
      </c>
      <c r="N118" s="132"/>
    </row>
    <row r="119" spans="1:14" ht="19">
      <c r="A119" s="125" t="s">
        <v>167</v>
      </c>
      <c r="B119" s="126">
        <v>0</v>
      </c>
      <c r="C119" s="126">
        <v>0</v>
      </c>
      <c r="D119" s="126">
        <v>0</v>
      </c>
      <c r="E119" s="126">
        <v>500</v>
      </c>
      <c r="F119" s="126">
        <v>658.77</v>
      </c>
      <c r="G119" s="126">
        <v>615.45000000000005</v>
      </c>
      <c r="H119" s="126">
        <v>742.43</v>
      </c>
      <c r="I119" s="126">
        <v>222.89</v>
      </c>
      <c r="J119" s="126">
        <v>635.34</v>
      </c>
      <c r="K119" s="126">
        <v>565.98</v>
      </c>
      <c r="L119" s="126">
        <v>801.11</v>
      </c>
      <c r="M119" s="126">
        <v>542.36</v>
      </c>
      <c r="N119" s="132"/>
    </row>
    <row r="120" spans="1:14" ht="19">
      <c r="A120" s="129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7"/>
    </row>
    <row r="121" spans="1:14" ht="19">
      <c r="A121" s="128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32"/>
    </row>
    <row r="122" spans="1:14" ht="25" customHeight="1">
      <c r="A122" s="151" t="s">
        <v>269</v>
      </c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32"/>
    </row>
    <row r="123" spans="1:14" ht="23" customHeight="1">
      <c r="A123" s="125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32"/>
    </row>
    <row r="124" spans="1:14" ht="24" customHeight="1">
      <c r="A124" s="128" t="s">
        <v>156</v>
      </c>
      <c r="B124" s="126">
        <v>2824</v>
      </c>
      <c r="C124" s="126">
        <v>2824</v>
      </c>
      <c r="D124" s="126">
        <v>3036</v>
      </c>
      <c r="E124" s="126">
        <v>3036</v>
      </c>
      <c r="F124" s="126">
        <v>3036</v>
      </c>
      <c r="G124" s="126">
        <v>3036</v>
      </c>
      <c r="H124" s="126">
        <v>3036</v>
      </c>
      <c r="I124" s="126">
        <v>3036</v>
      </c>
      <c r="J124" s="126">
        <v>3036</v>
      </c>
      <c r="K124" s="126">
        <v>3036</v>
      </c>
      <c r="L124" s="126">
        <v>5674</v>
      </c>
      <c r="M124" s="126">
        <v>3036</v>
      </c>
      <c r="N124" s="132"/>
    </row>
    <row r="125" spans="1:14" ht="20" customHeight="1">
      <c r="A125" s="128" t="s">
        <v>157</v>
      </c>
      <c r="B125" s="126">
        <v>250</v>
      </c>
      <c r="C125" s="126">
        <v>250</v>
      </c>
      <c r="D125" s="126">
        <v>250</v>
      </c>
      <c r="E125" s="126">
        <v>250</v>
      </c>
      <c r="F125" s="126">
        <v>250</v>
      </c>
      <c r="G125" s="126">
        <v>250</v>
      </c>
      <c r="H125" s="126">
        <v>250</v>
      </c>
      <c r="I125" s="126">
        <v>250</v>
      </c>
      <c r="J125" s="126">
        <v>250</v>
      </c>
      <c r="K125" s="126">
        <v>250</v>
      </c>
      <c r="L125" s="126">
        <v>250</v>
      </c>
      <c r="M125" s="126">
        <v>250</v>
      </c>
      <c r="N125" s="132"/>
    </row>
    <row r="126" spans="1:14" ht="20" customHeight="1">
      <c r="A126" s="128" t="s">
        <v>158</v>
      </c>
      <c r="B126" s="126">
        <v>870</v>
      </c>
      <c r="C126" s="126">
        <v>870</v>
      </c>
      <c r="D126" s="126">
        <v>870</v>
      </c>
      <c r="E126" s="126">
        <v>870</v>
      </c>
      <c r="F126" s="126">
        <v>870</v>
      </c>
      <c r="G126" s="126">
        <v>870</v>
      </c>
      <c r="H126" s="126">
        <v>870</v>
      </c>
      <c r="I126" s="126">
        <v>870</v>
      </c>
      <c r="J126" s="126">
        <v>870</v>
      </c>
      <c r="K126" s="126">
        <v>870</v>
      </c>
      <c r="L126" s="126">
        <v>870</v>
      </c>
      <c r="M126" s="126">
        <v>894.9</v>
      </c>
      <c r="N126" s="132"/>
    </row>
    <row r="127" spans="1:14" ht="20">
      <c r="A127" s="128" t="s">
        <v>159</v>
      </c>
      <c r="B127" s="126">
        <v>1050</v>
      </c>
      <c r="C127" s="126">
        <v>1050</v>
      </c>
      <c r="D127" s="126">
        <v>1050</v>
      </c>
      <c r="E127" s="126">
        <v>1050</v>
      </c>
      <c r="F127" s="126">
        <v>1050</v>
      </c>
      <c r="G127" s="126">
        <v>1050</v>
      </c>
      <c r="H127" s="126">
        <v>1050</v>
      </c>
      <c r="I127" s="126">
        <v>1050</v>
      </c>
      <c r="J127" s="126">
        <v>1050</v>
      </c>
      <c r="K127" s="126">
        <v>1050</v>
      </c>
      <c r="L127" s="126">
        <v>1050</v>
      </c>
      <c r="M127" s="126">
        <v>1050</v>
      </c>
      <c r="N127" s="132"/>
    </row>
    <row r="128" spans="1:14" ht="20">
      <c r="A128" s="128" t="s">
        <v>170</v>
      </c>
      <c r="B128" s="157">
        <v>0</v>
      </c>
      <c r="C128" s="126">
        <v>0</v>
      </c>
      <c r="D128" s="126">
        <v>1400</v>
      </c>
      <c r="E128" s="126">
        <v>1400</v>
      </c>
      <c r="F128" s="126">
        <v>1400</v>
      </c>
      <c r="G128" s="126">
        <v>1400</v>
      </c>
      <c r="H128" s="126">
        <v>1400</v>
      </c>
      <c r="I128" s="126">
        <v>1400</v>
      </c>
      <c r="J128" s="126">
        <v>1400</v>
      </c>
      <c r="K128" s="126">
        <v>1400</v>
      </c>
      <c r="L128" s="126">
        <v>1400</v>
      </c>
      <c r="M128" s="126">
        <v>1400</v>
      </c>
      <c r="N128" s="132"/>
    </row>
    <row r="129" spans="1:14" ht="20">
      <c r="A129" s="128" t="s">
        <v>171</v>
      </c>
      <c r="B129" s="157">
        <v>0</v>
      </c>
      <c r="C129" s="157">
        <v>0</v>
      </c>
      <c r="D129" s="157">
        <v>150</v>
      </c>
      <c r="E129" s="157">
        <v>150</v>
      </c>
      <c r="F129" s="157">
        <v>150</v>
      </c>
      <c r="G129" s="126">
        <v>150</v>
      </c>
      <c r="H129" s="126">
        <v>150</v>
      </c>
      <c r="I129" s="126">
        <v>150</v>
      </c>
      <c r="J129" s="126">
        <v>150</v>
      </c>
      <c r="K129" s="126">
        <v>150</v>
      </c>
      <c r="L129" s="126">
        <v>150</v>
      </c>
      <c r="M129" s="126">
        <v>150</v>
      </c>
      <c r="N129" s="158"/>
    </row>
    <row r="130" spans="1:14" ht="20">
      <c r="A130" s="128" t="s">
        <v>172</v>
      </c>
      <c r="B130" s="157">
        <v>0</v>
      </c>
      <c r="C130" s="157">
        <v>0</v>
      </c>
      <c r="D130" s="157">
        <v>688</v>
      </c>
      <c r="E130" s="157">
        <v>688</v>
      </c>
      <c r="F130" s="157">
        <v>688</v>
      </c>
      <c r="G130" s="126">
        <v>688</v>
      </c>
      <c r="H130" s="126">
        <v>688</v>
      </c>
      <c r="I130" s="126">
        <v>688</v>
      </c>
      <c r="J130" s="126">
        <v>688</v>
      </c>
      <c r="K130" s="126">
        <v>688</v>
      </c>
      <c r="L130" s="126">
        <v>688</v>
      </c>
      <c r="M130" s="126">
        <v>688</v>
      </c>
      <c r="N130" s="158"/>
    </row>
    <row r="131" spans="1:14" ht="22" customHeight="1">
      <c r="A131" s="128" t="s">
        <v>173</v>
      </c>
      <c r="B131" s="157">
        <v>0</v>
      </c>
      <c r="C131" s="157">
        <v>0</v>
      </c>
      <c r="D131" s="157">
        <v>200</v>
      </c>
      <c r="E131" s="157">
        <v>200</v>
      </c>
      <c r="F131" s="157">
        <v>200</v>
      </c>
      <c r="G131" s="126">
        <v>200</v>
      </c>
      <c r="H131" s="126">
        <v>200</v>
      </c>
      <c r="I131" s="126">
        <v>200</v>
      </c>
      <c r="J131" s="126">
        <v>200</v>
      </c>
      <c r="K131" s="126">
        <v>200</v>
      </c>
      <c r="L131" s="126">
        <v>200</v>
      </c>
      <c r="M131" s="126">
        <v>200</v>
      </c>
      <c r="N131" s="158"/>
    </row>
    <row r="132" spans="1:14" ht="21" customHeight="1">
      <c r="A132" s="128" t="s">
        <v>174</v>
      </c>
      <c r="B132" s="157">
        <v>0</v>
      </c>
      <c r="C132" s="157">
        <v>0</v>
      </c>
      <c r="D132" s="157">
        <v>0</v>
      </c>
      <c r="E132" s="157">
        <v>0</v>
      </c>
      <c r="F132" s="157">
        <v>200</v>
      </c>
      <c r="G132" s="126">
        <v>200</v>
      </c>
      <c r="H132" s="126">
        <v>200</v>
      </c>
      <c r="I132" s="126">
        <v>200</v>
      </c>
      <c r="J132" s="126">
        <v>200</v>
      </c>
      <c r="K132" s="126">
        <v>200</v>
      </c>
      <c r="L132" s="126">
        <v>200</v>
      </c>
      <c r="M132" s="126">
        <v>200</v>
      </c>
      <c r="N132" s="158"/>
    </row>
    <row r="133" spans="1:14" ht="20" customHeight="1">
      <c r="A133" s="129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7"/>
    </row>
    <row r="134" spans="1:14" ht="22" customHeight="1">
      <c r="A134" s="129" t="s">
        <v>497</v>
      </c>
      <c r="B134" s="127">
        <f>SUM(B101:B133)</f>
        <v>10368</v>
      </c>
      <c r="C134" s="127">
        <f t="shared" ref="C134:M134" si="1">SUM(C101:C133)</f>
        <v>10428</v>
      </c>
      <c r="D134" s="127">
        <f t="shared" si="1"/>
        <v>18927.5</v>
      </c>
      <c r="E134" s="127">
        <f t="shared" si="1"/>
        <v>19170.66</v>
      </c>
      <c r="F134" s="127">
        <f t="shared" si="1"/>
        <v>19551.940000000002</v>
      </c>
      <c r="G134" s="127">
        <f t="shared" si="1"/>
        <v>19335.84</v>
      </c>
      <c r="H134" s="127">
        <f t="shared" si="1"/>
        <v>20463.090000000004</v>
      </c>
      <c r="I134" s="127">
        <f t="shared" si="1"/>
        <v>18288.330000000002</v>
      </c>
      <c r="J134" s="127">
        <f t="shared" si="1"/>
        <v>19981.979999999996</v>
      </c>
      <c r="K134" s="127">
        <f t="shared" si="1"/>
        <v>18593.86</v>
      </c>
      <c r="L134" s="127">
        <f t="shared" si="1"/>
        <v>23568.090000000004</v>
      </c>
      <c r="M134" s="127">
        <f t="shared" si="1"/>
        <v>19091.079999999998</v>
      </c>
      <c r="N134" s="131">
        <f>SUM(B134:M134)</f>
        <v>217768.36999999994</v>
      </c>
    </row>
    <row r="135" spans="1:14" ht="19">
      <c r="A135" s="100"/>
      <c r="B135" s="95"/>
      <c r="C135" s="95"/>
      <c r="D135" s="95"/>
      <c r="E135" s="95"/>
      <c r="F135" s="95"/>
      <c r="G135" s="95"/>
      <c r="H135" s="143"/>
      <c r="I135" s="95"/>
      <c r="J135" s="95"/>
      <c r="K135" s="95"/>
      <c r="L135" s="95"/>
      <c r="M135" s="95"/>
      <c r="N135" s="106"/>
    </row>
    <row r="136" spans="1:14" ht="23" customHeight="1">
      <c r="A136" s="118" t="s">
        <v>270</v>
      </c>
      <c r="B136" s="95"/>
      <c r="C136" s="95"/>
      <c r="D136" s="95"/>
      <c r="E136" s="95"/>
      <c r="F136" s="95"/>
      <c r="G136" s="95"/>
      <c r="H136" s="143"/>
      <c r="I136" s="95"/>
      <c r="J136" s="95"/>
      <c r="K136" s="95"/>
      <c r="L136" s="95"/>
      <c r="M136" s="95"/>
      <c r="N136" s="106"/>
    </row>
    <row r="137" spans="1:14" ht="23" customHeight="1">
      <c r="A137" s="97"/>
      <c r="B137" s="95"/>
      <c r="C137" s="95"/>
      <c r="D137" s="95"/>
      <c r="E137" s="95"/>
      <c r="F137" s="95"/>
      <c r="G137" s="95"/>
      <c r="H137" s="143"/>
      <c r="I137" s="95"/>
      <c r="J137" s="95"/>
      <c r="K137" s="95"/>
      <c r="L137" s="95"/>
      <c r="M137" s="95"/>
      <c r="N137" s="81"/>
    </row>
    <row r="138" spans="1:14" ht="22" customHeight="1">
      <c r="A138" s="97" t="s">
        <v>65</v>
      </c>
      <c r="B138" s="95">
        <v>405.4</v>
      </c>
      <c r="C138" s="95">
        <v>952.36</v>
      </c>
      <c r="D138" s="95">
        <v>1597.4</v>
      </c>
      <c r="E138" s="95">
        <v>2659.18</v>
      </c>
      <c r="F138" s="95">
        <v>3735.8</v>
      </c>
      <c r="G138" s="95">
        <v>4096.0200000000004</v>
      </c>
      <c r="H138" s="143"/>
      <c r="I138" s="95">
        <v>981.68</v>
      </c>
      <c r="J138" s="95">
        <v>464.74</v>
      </c>
      <c r="K138" s="95">
        <v>225.77</v>
      </c>
      <c r="L138" s="95">
        <v>79.2</v>
      </c>
      <c r="M138" s="95">
        <v>79.2</v>
      </c>
      <c r="N138" s="81"/>
    </row>
    <row r="139" spans="1:14" ht="21" customHeight="1">
      <c r="A139" s="97" t="s">
        <v>66</v>
      </c>
      <c r="B139" s="95">
        <v>250</v>
      </c>
      <c r="C139" s="95">
        <v>250</v>
      </c>
      <c r="D139" s="95">
        <v>250</v>
      </c>
      <c r="E139" s="95">
        <v>250</v>
      </c>
      <c r="F139" s="95">
        <v>250</v>
      </c>
      <c r="G139" s="95">
        <v>250</v>
      </c>
      <c r="H139" s="143">
        <v>250</v>
      </c>
      <c r="I139" s="95">
        <v>250</v>
      </c>
      <c r="J139" s="95">
        <v>250</v>
      </c>
      <c r="K139" s="95">
        <v>250</v>
      </c>
      <c r="L139" s="95">
        <v>250</v>
      </c>
      <c r="M139" s="95">
        <v>250</v>
      </c>
      <c r="N139" s="81"/>
    </row>
    <row r="140" spans="1:14" ht="21" customHeight="1">
      <c r="A140" s="97" t="s">
        <v>67</v>
      </c>
      <c r="B140" s="95">
        <v>1157.8699999999999</v>
      </c>
      <c r="C140" s="95">
        <v>1875.9</v>
      </c>
      <c r="D140" s="95">
        <v>825.08</v>
      </c>
      <c r="E140" s="95">
        <v>2448.64</v>
      </c>
      <c r="F140" s="95">
        <v>2095.77</v>
      </c>
      <c r="G140" s="95">
        <v>1655.92</v>
      </c>
      <c r="H140" s="143">
        <v>1029.48</v>
      </c>
      <c r="I140" s="95">
        <v>1956.62</v>
      </c>
      <c r="J140" s="95">
        <v>1662.4</v>
      </c>
      <c r="K140" s="95">
        <v>432.89</v>
      </c>
      <c r="L140" s="95">
        <v>682.08</v>
      </c>
      <c r="M140" s="95">
        <v>852.7</v>
      </c>
      <c r="N140" s="81"/>
    </row>
    <row r="141" spans="1:14" ht="20" customHeight="1">
      <c r="A141" s="97" t="s">
        <v>68</v>
      </c>
      <c r="B141" s="95"/>
      <c r="C141" s="95"/>
      <c r="D141" s="95"/>
      <c r="E141" s="95"/>
      <c r="F141" s="95"/>
      <c r="G141" s="95"/>
      <c r="H141" s="143">
        <v>3000</v>
      </c>
      <c r="I141" s="95"/>
      <c r="J141" s="95"/>
      <c r="K141" s="95"/>
      <c r="L141" s="95"/>
      <c r="M141" s="95"/>
      <c r="N141" s="81"/>
    </row>
    <row r="142" spans="1:14" ht="20">
      <c r="A142" s="97" t="s">
        <v>69</v>
      </c>
      <c r="B142" s="95"/>
      <c r="C142" s="95"/>
      <c r="D142" s="95"/>
      <c r="E142" s="95"/>
      <c r="F142" s="95"/>
      <c r="G142" s="95"/>
      <c r="H142" s="143"/>
      <c r="I142" s="95"/>
      <c r="J142" s="95"/>
      <c r="K142" s="95"/>
      <c r="L142" s="95"/>
      <c r="M142" s="95"/>
      <c r="N142" s="81"/>
    </row>
    <row r="143" spans="1:14" ht="19">
      <c r="A143" s="79" t="s">
        <v>271</v>
      </c>
      <c r="B143" s="95">
        <v>0</v>
      </c>
      <c r="C143" s="95">
        <v>0</v>
      </c>
      <c r="D143" s="95">
        <v>0</v>
      </c>
      <c r="E143" s="95">
        <v>0</v>
      </c>
      <c r="F143" s="95">
        <v>0</v>
      </c>
      <c r="G143" s="95">
        <v>0</v>
      </c>
      <c r="H143" s="143"/>
      <c r="I143" s="95"/>
      <c r="J143" s="95"/>
      <c r="K143" s="95"/>
      <c r="L143" s="95"/>
      <c r="M143" s="95"/>
      <c r="N143" s="81"/>
    </row>
    <row r="144" spans="1:14" ht="19">
      <c r="A144" s="79" t="s">
        <v>272</v>
      </c>
      <c r="B144" s="95">
        <v>0</v>
      </c>
      <c r="C144" s="95">
        <v>0</v>
      </c>
      <c r="D144" s="95">
        <v>0</v>
      </c>
      <c r="E144" s="95">
        <v>0</v>
      </c>
      <c r="F144" s="95">
        <v>0</v>
      </c>
      <c r="G144" s="95">
        <v>0</v>
      </c>
      <c r="H144" s="143"/>
      <c r="I144" s="95"/>
      <c r="J144" s="95"/>
      <c r="K144" s="95"/>
      <c r="L144" s="95"/>
      <c r="M144" s="95"/>
      <c r="N144" s="81"/>
    </row>
    <row r="145" spans="1:14" ht="19">
      <c r="A145" s="79" t="s">
        <v>273</v>
      </c>
      <c r="B145" s="95">
        <v>0</v>
      </c>
      <c r="C145" s="95">
        <v>3200</v>
      </c>
      <c r="D145" s="95">
        <v>0</v>
      </c>
      <c r="E145" s="95">
        <v>0</v>
      </c>
      <c r="F145" s="95">
        <v>0</v>
      </c>
      <c r="G145" s="95">
        <v>0</v>
      </c>
      <c r="H145" s="143"/>
      <c r="I145" s="95"/>
      <c r="J145" s="95"/>
      <c r="K145" s="95"/>
      <c r="L145" s="95"/>
      <c r="M145" s="95"/>
      <c r="N145" s="81"/>
    </row>
    <row r="146" spans="1:14" ht="20" customHeight="1">
      <c r="A146" s="79" t="s">
        <v>274</v>
      </c>
      <c r="B146" s="95">
        <v>0</v>
      </c>
      <c r="C146" s="95">
        <v>880</v>
      </c>
      <c r="D146" s="95">
        <v>2105.23</v>
      </c>
      <c r="E146" s="95">
        <v>0</v>
      </c>
      <c r="F146" s="95">
        <v>0</v>
      </c>
      <c r="G146" s="95">
        <v>0</v>
      </c>
      <c r="H146" s="143"/>
      <c r="I146" s="95"/>
      <c r="J146" s="95"/>
      <c r="K146" s="95"/>
      <c r="L146" s="95"/>
      <c r="M146" s="95"/>
      <c r="N146" s="81"/>
    </row>
    <row r="147" spans="1:14" ht="19">
      <c r="A147" s="79" t="s">
        <v>275</v>
      </c>
      <c r="B147" s="95">
        <v>0</v>
      </c>
      <c r="C147" s="95">
        <v>0</v>
      </c>
      <c r="D147" s="95">
        <v>0</v>
      </c>
      <c r="E147" s="95">
        <v>0</v>
      </c>
      <c r="F147" s="95">
        <v>0</v>
      </c>
      <c r="G147" s="95">
        <v>0</v>
      </c>
      <c r="H147" s="143"/>
      <c r="I147" s="95"/>
      <c r="J147" s="95"/>
      <c r="K147" s="95"/>
      <c r="L147" s="95"/>
      <c r="M147" s="95"/>
      <c r="N147" s="81"/>
    </row>
    <row r="148" spans="1:14" ht="19">
      <c r="A148" s="79" t="s">
        <v>276</v>
      </c>
      <c r="B148" s="95">
        <v>0</v>
      </c>
      <c r="C148" s="95">
        <v>0</v>
      </c>
      <c r="D148" s="95">
        <v>0</v>
      </c>
      <c r="E148" s="95">
        <v>0</v>
      </c>
      <c r="F148" s="95">
        <v>0</v>
      </c>
      <c r="G148" s="95">
        <v>0</v>
      </c>
      <c r="H148" s="143"/>
      <c r="I148" s="95"/>
      <c r="J148" s="95"/>
      <c r="K148" s="95"/>
      <c r="L148" s="95"/>
      <c r="M148" s="95"/>
      <c r="N148" s="81"/>
    </row>
    <row r="149" spans="1:14" ht="20" customHeight="1">
      <c r="A149" s="79" t="s">
        <v>76</v>
      </c>
      <c r="B149" s="95">
        <v>0</v>
      </c>
      <c r="C149" s="95">
        <v>0</v>
      </c>
      <c r="D149" s="95">
        <v>0</v>
      </c>
      <c r="E149" s="95">
        <v>245.75</v>
      </c>
      <c r="F149" s="95">
        <v>0</v>
      </c>
      <c r="G149" s="95">
        <v>0</v>
      </c>
      <c r="H149" s="143"/>
      <c r="I149" s="95"/>
      <c r="J149" s="95"/>
      <c r="K149" s="95"/>
      <c r="L149" s="95"/>
      <c r="M149" s="95"/>
      <c r="N149" s="81"/>
    </row>
    <row r="150" spans="1:14" ht="19">
      <c r="A150" s="79" t="s">
        <v>277</v>
      </c>
      <c r="B150" s="95">
        <v>0</v>
      </c>
      <c r="C150" s="95">
        <v>7000</v>
      </c>
      <c r="D150" s="95">
        <v>0</v>
      </c>
      <c r="E150" s="95">
        <v>0</v>
      </c>
      <c r="F150" s="95">
        <v>0</v>
      </c>
      <c r="G150" s="95">
        <v>0</v>
      </c>
      <c r="H150" s="143"/>
      <c r="I150" s="95"/>
      <c r="J150" s="95"/>
      <c r="K150" s="95"/>
      <c r="L150" s="95"/>
      <c r="M150" s="95"/>
      <c r="N150" s="81"/>
    </row>
    <row r="151" spans="1:14" ht="20">
      <c r="A151" s="94" t="s">
        <v>278</v>
      </c>
      <c r="B151" s="95"/>
      <c r="C151" s="95"/>
      <c r="D151" s="95"/>
      <c r="E151" s="95"/>
      <c r="F151" s="95"/>
      <c r="G151" s="95"/>
      <c r="H151" s="143"/>
      <c r="I151" s="95"/>
      <c r="J151" s="95"/>
      <c r="K151" s="95"/>
      <c r="L151" s="95"/>
      <c r="M151" s="95"/>
      <c r="N151" s="81"/>
    </row>
    <row r="152" spans="1:14" ht="19">
      <c r="A152" s="90" t="s">
        <v>279</v>
      </c>
      <c r="B152" s="95"/>
      <c r="C152" s="95"/>
      <c r="D152" s="95"/>
      <c r="E152" s="95"/>
      <c r="F152" s="95"/>
      <c r="G152" s="95"/>
      <c r="H152" s="143"/>
      <c r="I152" s="95"/>
      <c r="J152" s="95"/>
      <c r="K152" s="95"/>
      <c r="L152" s="95"/>
      <c r="M152" s="95"/>
      <c r="N152" s="81"/>
    </row>
    <row r="153" spans="1:14" ht="20" customHeight="1">
      <c r="A153" s="79" t="s">
        <v>78</v>
      </c>
      <c r="B153" s="95">
        <v>0</v>
      </c>
      <c r="C153" s="95">
        <v>0</v>
      </c>
      <c r="D153" s="95">
        <v>100</v>
      </c>
      <c r="E153" s="95">
        <v>0</v>
      </c>
      <c r="F153" s="95">
        <v>0</v>
      </c>
      <c r="G153" s="95">
        <v>0</v>
      </c>
      <c r="H153" s="143"/>
      <c r="I153" s="95"/>
      <c r="J153" s="95"/>
      <c r="K153" s="95"/>
      <c r="L153" s="95"/>
      <c r="M153" s="95"/>
      <c r="N153" s="81"/>
    </row>
    <row r="154" spans="1:14" ht="20" customHeight="1">
      <c r="A154" s="79" t="s">
        <v>79</v>
      </c>
      <c r="B154" s="95">
        <v>0</v>
      </c>
      <c r="C154" s="95">
        <v>0</v>
      </c>
      <c r="D154" s="95">
        <v>100</v>
      </c>
      <c r="E154" s="95">
        <v>0</v>
      </c>
      <c r="F154" s="95">
        <v>0</v>
      </c>
      <c r="G154" s="95">
        <v>0</v>
      </c>
      <c r="H154" s="143"/>
      <c r="I154" s="95"/>
      <c r="J154" s="95"/>
      <c r="K154" s="95"/>
      <c r="L154" s="95"/>
      <c r="M154" s="95"/>
      <c r="N154" s="81"/>
    </row>
    <row r="155" spans="1:14" ht="19">
      <c r="A155" s="79" t="s">
        <v>280</v>
      </c>
      <c r="B155" s="95">
        <v>0</v>
      </c>
      <c r="C155" s="95">
        <v>0</v>
      </c>
      <c r="D155" s="95">
        <v>0</v>
      </c>
      <c r="E155" s="95">
        <v>0</v>
      </c>
      <c r="F155" s="95">
        <v>0</v>
      </c>
      <c r="G155" s="95">
        <v>0</v>
      </c>
      <c r="H155" s="143"/>
      <c r="I155" s="95"/>
      <c r="J155" s="95"/>
      <c r="K155" s="95"/>
      <c r="L155" s="95"/>
      <c r="M155" s="95"/>
      <c r="N155" s="81"/>
    </row>
    <row r="156" spans="1:14" ht="19">
      <c r="A156" s="79" t="s">
        <v>281</v>
      </c>
      <c r="B156" s="95">
        <v>0</v>
      </c>
      <c r="C156" s="95">
        <v>0</v>
      </c>
      <c r="D156" s="95">
        <v>0</v>
      </c>
      <c r="E156" s="95">
        <v>0</v>
      </c>
      <c r="F156" s="95">
        <v>0</v>
      </c>
      <c r="G156" s="95">
        <v>0</v>
      </c>
      <c r="H156" s="143"/>
      <c r="I156" s="95"/>
      <c r="J156" s="95"/>
      <c r="K156" s="95"/>
      <c r="L156" s="95"/>
      <c r="M156" s="95"/>
      <c r="N156" s="81"/>
    </row>
    <row r="157" spans="1:14" ht="19">
      <c r="A157" s="79" t="s">
        <v>282</v>
      </c>
      <c r="B157" s="95">
        <v>0</v>
      </c>
      <c r="C157" s="95">
        <v>0</v>
      </c>
      <c r="D157" s="95">
        <v>0</v>
      </c>
      <c r="E157" s="95">
        <v>0</v>
      </c>
      <c r="F157" s="95">
        <v>0</v>
      </c>
      <c r="G157" s="95">
        <v>0</v>
      </c>
      <c r="H157" s="143"/>
      <c r="I157" s="95"/>
      <c r="J157" s="95"/>
      <c r="K157" s="95"/>
      <c r="L157" s="95"/>
      <c r="M157" s="95"/>
      <c r="N157" s="81"/>
    </row>
    <row r="158" spans="1:14" ht="19">
      <c r="A158" s="79" t="s">
        <v>80</v>
      </c>
      <c r="B158" s="95">
        <v>0</v>
      </c>
      <c r="C158" s="95">
        <v>0</v>
      </c>
      <c r="D158" s="95">
        <v>2800</v>
      </c>
      <c r="E158" s="95">
        <v>0</v>
      </c>
      <c r="F158" s="95">
        <v>0</v>
      </c>
      <c r="G158" s="95">
        <v>0</v>
      </c>
      <c r="H158" s="143"/>
      <c r="I158" s="95"/>
      <c r="J158" s="95"/>
      <c r="K158" s="95"/>
      <c r="L158" s="95"/>
      <c r="M158" s="95"/>
      <c r="N158" s="81"/>
    </row>
    <row r="159" spans="1:14" ht="19">
      <c r="A159" s="79" t="s">
        <v>81</v>
      </c>
      <c r="B159" s="95">
        <v>0</v>
      </c>
      <c r="C159" s="95">
        <v>0</v>
      </c>
      <c r="D159" s="95">
        <v>0</v>
      </c>
      <c r="E159" s="95">
        <v>103.19</v>
      </c>
      <c r="F159" s="95">
        <v>0</v>
      </c>
      <c r="G159" s="95">
        <v>0</v>
      </c>
      <c r="H159" s="143"/>
      <c r="I159" s="95"/>
      <c r="J159" s="95"/>
      <c r="K159" s="95"/>
      <c r="L159" s="95"/>
      <c r="M159" s="95"/>
      <c r="N159" s="81"/>
    </row>
    <row r="160" spans="1:14" ht="22" customHeight="1">
      <c r="A160" s="79" t="s">
        <v>82</v>
      </c>
      <c r="B160" s="95">
        <v>0</v>
      </c>
      <c r="C160" s="95">
        <v>0</v>
      </c>
      <c r="D160" s="95">
        <v>923.31</v>
      </c>
      <c r="E160" s="95">
        <v>112.5</v>
      </c>
      <c r="F160" s="95">
        <v>0</v>
      </c>
      <c r="G160" s="95">
        <v>0</v>
      </c>
      <c r="H160" s="143"/>
      <c r="I160" s="95"/>
      <c r="J160" s="95"/>
      <c r="K160" s="95"/>
      <c r="L160" s="95"/>
      <c r="M160" s="95"/>
      <c r="N160" s="81"/>
    </row>
    <row r="161" spans="1:14" ht="40">
      <c r="A161" s="97" t="s">
        <v>283</v>
      </c>
      <c r="B161" s="95"/>
      <c r="C161" s="95"/>
      <c r="D161" s="95"/>
      <c r="E161" s="95"/>
      <c r="F161" s="95"/>
      <c r="G161" s="95"/>
      <c r="H161" s="143"/>
      <c r="I161" s="95"/>
      <c r="J161" s="95"/>
      <c r="K161" s="95"/>
      <c r="L161" s="95"/>
      <c r="M161" s="95"/>
      <c r="N161" s="81"/>
    </row>
    <row r="162" spans="1:14" ht="20" customHeight="1">
      <c r="A162" s="97" t="s">
        <v>284</v>
      </c>
      <c r="B162" s="95"/>
      <c r="C162" s="95"/>
      <c r="D162" s="95"/>
      <c r="E162" s="95"/>
      <c r="F162" s="95"/>
      <c r="G162" s="95"/>
      <c r="H162" s="143"/>
      <c r="I162" s="95"/>
      <c r="J162" s="95"/>
      <c r="K162" s="95"/>
      <c r="L162" s="95"/>
      <c r="M162" s="95"/>
      <c r="N162" s="81"/>
    </row>
    <row r="163" spans="1:14" ht="20">
      <c r="A163" s="97" t="s">
        <v>285</v>
      </c>
      <c r="B163" s="95"/>
      <c r="C163" s="95"/>
      <c r="D163" s="95"/>
      <c r="E163" s="95"/>
      <c r="F163" s="95"/>
      <c r="G163" s="95"/>
      <c r="H163" s="143"/>
      <c r="I163" s="95"/>
      <c r="J163" s="95"/>
      <c r="K163" s="95"/>
      <c r="L163" s="95"/>
      <c r="M163" s="95"/>
      <c r="N163" s="81"/>
    </row>
    <row r="164" spans="1:14" ht="19">
      <c r="A164" s="79" t="s">
        <v>286</v>
      </c>
      <c r="B164" s="95">
        <v>0</v>
      </c>
      <c r="C164" s="95">
        <v>0</v>
      </c>
      <c r="D164" s="95">
        <v>895.77</v>
      </c>
      <c r="E164" s="95">
        <v>0</v>
      </c>
      <c r="F164" s="95">
        <v>0</v>
      </c>
      <c r="G164" s="95">
        <v>0</v>
      </c>
      <c r="H164" s="143"/>
      <c r="I164" s="95"/>
      <c r="J164" s="95"/>
      <c r="K164" s="95"/>
      <c r="L164" s="95"/>
      <c r="M164" s="95"/>
      <c r="N164" s="81"/>
    </row>
    <row r="165" spans="1:14" ht="19">
      <c r="A165" s="79" t="s">
        <v>287</v>
      </c>
      <c r="B165" s="95">
        <v>0</v>
      </c>
      <c r="C165" s="95">
        <v>0</v>
      </c>
      <c r="D165" s="95">
        <v>594.15</v>
      </c>
      <c r="E165" s="95">
        <v>0</v>
      </c>
      <c r="F165" s="95">
        <v>0</v>
      </c>
      <c r="G165" s="95">
        <v>0</v>
      </c>
      <c r="H165" s="143"/>
      <c r="I165" s="95"/>
      <c r="J165" s="95"/>
      <c r="K165" s="95"/>
      <c r="L165" s="95"/>
      <c r="M165" s="95"/>
      <c r="N165" s="81"/>
    </row>
    <row r="166" spans="1:14" ht="21" customHeight="1">
      <c r="A166" s="79" t="s">
        <v>288</v>
      </c>
      <c r="B166" s="95">
        <v>0</v>
      </c>
      <c r="C166" s="95">
        <v>0</v>
      </c>
      <c r="D166" s="95">
        <v>0</v>
      </c>
      <c r="E166" s="95">
        <v>469.5</v>
      </c>
      <c r="F166" s="95">
        <v>0</v>
      </c>
      <c r="G166" s="95">
        <v>0</v>
      </c>
      <c r="H166" s="143"/>
      <c r="I166" s="95"/>
      <c r="J166" s="95"/>
      <c r="K166" s="95"/>
      <c r="L166" s="95"/>
      <c r="M166" s="95"/>
      <c r="N166" s="81"/>
    </row>
    <row r="167" spans="1:14" ht="22" customHeight="1">
      <c r="A167" s="79" t="s">
        <v>289</v>
      </c>
      <c r="B167" s="95">
        <v>0</v>
      </c>
      <c r="C167" s="95">
        <v>0</v>
      </c>
      <c r="D167" s="95">
        <v>115.2</v>
      </c>
      <c r="E167" s="95">
        <v>0</v>
      </c>
      <c r="F167" s="95">
        <v>0</v>
      </c>
      <c r="G167" s="95">
        <v>0</v>
      </c>
      <c r="H167" s="143"/>
      <c r="I167" s="95"/>
      <c r="J167" s="95"/>
      <c r="K167" s="95"/>
      <c r="L167" s="95"/>
      <c r="M167" s="95"/>
      <c r="N167" s="81"/>
    </row>
    <row r="168" spans="1:14" ht="19" customHeight="1">
      <c r="A168" s="79" t="s">
        <v>277</v>
      </c>
      <c r="B168" s="95">
        <v>0</v>
      </c>
      <c r="C168" s="95">
        <v>0</v>
      </c>
      <c r="D168" s="95">
        <v>1500</v>
      </c>
      <c r="E168" s="95">
        <v>0</v>
      </c>
      <c r="F168" s="95">
        <v>0</v>
      </c>
      <c r="G168" s="95">
        <v>0</v>
      </c>
      <c r="H168" s="143"/>
      <c r="I168" s="95"/>
      <c r="J168" s="95"/>
      <c r="K168" s="95"/>
      <c r="L168" s="95"/>
      <c r="M168" s="95"/>
      <c r="N168" s="81"/>
    </row>
    <row r="169" spans="1:14" ht="19">
      <c r="A169" s="90" t="s">
        <v>290</v>
      </c>
      <c r="B169" s="95"/>
      <c r="C169" s="95"/>
      <c r="D169" s="95"/>
      <c r="E169" s="95"/>
      <c r="F169" s="95"/>
      <c r="G169" s="95"/>
      <c r="H169" s="143"/>
      <c r="I169" s="95"/>
      <c r="J169" s="95"/>
      <c r="K169" s="95"/>
      <c r="L169" s="95"/>
      <c r="M169" s="95"/>
      <c r="N169" s="81"/>
    </row>
    <row r="170" spans="1:14" ht="20" customHeight="1">
      <c r="A170" s="97" t="s">
        <v>291</v>
      </c>
      <c r="B170" s="95"/>
      <c r="C170" s="95"/>
      <c r="D170" s="95"/>
      <c r="E170" s="95"/>
      <c r="F170" s="95"/>
      <c r="G170" s="95"/>
      <c r="H170" s="143"/>
      <c r="I170" s="95"/>
      <c r="J170" s="95"/>
      <c r="K170" s="95"/>
      <c r="L170" s="95"/>
      <c r="M170" s="95"/>
      <c r="N170" s="81"/>
    </row>
    <row r="171" spans="1:14" ht="20" customHeight="1">
      <c r="A171" s="79" t="s">
        <v>277</v>
      </c>
      <c r="B171" s="95">
        <v>0</v>
      </c>
      <c r="C171" s="95">
        <v>0</v>
      </c>
      <c r="D171" s="95">
        <v>800</v>
      </c>
      <c r="E171" s="95">
        <v>0</v>
      </c>
      <c r="F171" s="95">
        <v>0</v>
      </c>
      <c r="G171" s="95">
        <v>0</v>
      </c>
      <c r="H171" s="143"/>
      <c r="I171" s="95"/>
      <c r="J171" s="95"/>
      <c r="K171" s="95"/>
      <c r="L171" s="95"/>
      <c r="M171" s="95"/>
      <c r="N171" s="81"/>
    </row>
    <row r="172" spans="1:14" ht="20" customHeight="1">
      <c r="A172" s="90" t="s">
        <v>292</v>
      </c>
      <c r="B172" s="95"/>
      <c r="C172" s="95"/>
      <c r="D172" s="95"/>
      <c r="E172" s="95"/>
      <c r="F172" s="95"/>
      <c r="G172" s="95"/>
      <c r="H172" s="143"/>
      <c r="I172" s="95"/>
      <c r="J172" s="95"/>
      <c r="K172" s="95"/>
      <c r="L172" s="95"/>
      <c r="M172" s="95"/>
      <c r="N172" s="81"/>
    </row>
    <row r="173" spans="1:14" ht="20" customHeight="1">
      <c r="A173" s="90" t="s">
        <v>293</v>
      </c>
      <c r="B173" s="95"/>
      <c r="C173" s="95"/>
      <c r="D173" s="81"/>
      <c r="E173" s="81"/>
      <c r="F173" s="95"/>
      <c r="G173" s="95"/>
      <c r="H173" s="143"/>
      <c r="I173" s="95"/>
      <c r="J173" s="95"/>
      <c r="K173" s="95"/>
      <c r="L173" s="95"/>
      <c r="M173" s="95"/>
      <c r="N173" s="81"/>
    </row>
    <row r="174" spans="1:14" ht="20" customHeight="1">
      <c r="A174" s="97" t="s">
        <v>294</v>
      </c>
      <c r="B174" s="95"/>
      <c r="C174" s="95"/>
      <c r="D174" s="95"/>
      <c r="E174" s="95"/>
      <c r="F174" s="95"/>
      <c r="G174" s="95"/>
      <c r="H174" s="143"/>
      <c r="I174" s="95"/>
      <c r="J174" s="95"/>
      <c r="K174" s="95"/>
      <c r="L174" s="95"/>
      <c r="M174" s="95"/>
      <c r="N174" s="81"/>
    </row>
    <row r="175" spans="1:14" ht="20" customHeight="1">
      <c r="A175" s="94" t="s">
        <v>89</v>
      </c>
      <c r="B175" s="95">
        <v>350</v>
      </c>
      <c r="C175" s="95">
        <v>0</v>
      </c>
      <c r="D175" s="95">
        <v>0</v>
      </c>
      <c r="E175" s="95">
        <v>0</v>
      </c>
      <c r="F175" s="95">
        <v>370</v>
      </c>
      <c r="G175" s="95">
        <v>0</v>
      </c>
      <c r="H175" s="143"/>
      <c r="I175" s="95">
        <v>270</v>
      </c>
      <c r="J175" s="95">
        <v>270</v>
      </c>
      <c r="K175" s="95">
        <v>270</v>
      </c>
      <c r="L175" s="95">
        <v>350</v>
      </c>
      <c r="M175" s="95"/>
      <c r="N175" s="81"/>
    </row>
    <row r="176" spans="1:14" ht="20" customHeight="1">
      <c r="N176" s="81"/>
    </row>
    <row r="177" spans="1:14" ht="20" customHeight="1">
      <c r="A177" s="97" t="s">
        <v>102</v>
      </c>
      <c r="B177" s="95">
        <v>160</v>
      </c>
      <c r="C177" s="95">
        <v>161.91999999999999</v>
      </c>
      <c r="D177" s="95">
        <v>160</v>
      </c>
      <c r="E177" s="95">
        <v>160</v>
      </c>
      <c r="F177" s="95">
        <v>160</v>
      </c>
      <c r="G177" s="95">
        <v>160</v>
      </c>
      <c r="H177" s="143">
        <v>160</v>
      </c>
      <c r="I177" s="95">
        <v>162.5</v>
      </c>
      <c r="J177" s="95">
        <v>160</v>
      </c>
      <c r="K177" s="95">
        <v>160</v>
      </c>
      <c r="L177" s="95">
        <v>160</v>
      </c>
      <c r="M177" s="95">
        <v>160</v>
      </c>
      <c r="N177" s="81"/>
    </row>
    <row r="178" spans="1:14" ht="23" customHeight="1">
      <c r="A178" s="97" t="s">
        <v>103</v>
      </c>
      <c r="B178" s="95">
        <v>1391.5</v>
      </c>
      <c r="C178" s="95">
        <v>1334</v>
      </c>
      <c r="D178" s="95">
        <v>1414.5</v>
      </c>
      <c r="E178" s="95">
        <v>0</v>
      </c>
      <c r="F178" s="95">
        <v>0</v>
      </c>
      <c r="G178" s="95">
        <v>1811.5</v>
      </c>
      <c r="H178" s="143">
        <v>1566</v>
      </c>
      <c r="I178" s="95">
        <v>1733</v>
      </c>
      <c r="J178" s="95">
        <v>1653</v>
      </c>
      <c r="K178" s="95">
        <v>1546</v>
      </c>
      <c r="L178" s="95">
        <v>1520</v>
      </c>
      <c r="M178" s="95">
        <v>1711</v>
      </c>
      <c r="N178" s="81"/>
    </row>
    <row r="179" spans="1:14" ht="23" customHeight="1">
      <c r="A179" s="97" t="s">
        <v>104</v>
      </c>
      <c r="B179" s="95"/>
      <c r="C179" s="95"/>
      <c r="D179" s="95"/>
      <c r="E179" s="95"/>
      <c r="F179" s="95"/>
      <c r="G179" s="95"/>
      <c r="H179" s="143">
        <v>1950</v>
      </c>
      <c r="I179" s="95"/>
      <c r="J179" s="95"/>
      <c r="K179" s="95"/>
      <c r="L179" s="95"/>
      <c r="M179" s="95"/>
      <c r="N179" s="81"/>
    </row>
    <row r="180" spans="1:14" ht="22" customHeight="1">
      <c r="A180" s="94" t="s">
        <v>295</v>
      </c>
      <c r="B180" s="95">
        <v>0</v>
      </c>
      <c r="C180" s="95">
        <v>0</v>
      </c>
      <c r="D180" s="95">
        <v>0</v>
      </c>
      <c r="E180" s="95">
        <v>0</v>
      </c>
      <c r="F180" s="95">
        <v>2276.5</v>
      </c>
      <c r="G180" s="95">
        <v>0</v>
      </c>
      <c r="H180" s="143"/>
      <c r="I180" s="95"/>
      <c r="J180" s="95"/>
      <c r="K180" s="95"/>
      <c r="L180" s="95"/>
      <c r="M180" s="95"/>
      <c r="N180" s="81"/>
    </row>
    <row r="181" spans="1:14" ht="20">
      <c r="A181" s="94" t="s">
        <v>296</v>
      </c>
      <c r="B181" s="95">
        <v>0</v>
      </c>
      <c r="C181" s="95">
        <v>0</v>
      </c>
      <c r="D181" s="95">
        <v>0</v>
      </c>
      <c r="E181" s="95">
        <v>0</v>
      </c>
      <c r="F181" s="95">
        <v>1547.3</v>
      </c>
      <c r="G181" s="95">
        <v>0</v>
      </c>
      <c r="H181" s="143"/>
      <c r="I181" s="95"/>
      <c r="J181" s="95"/>
      <c r="K181" s="95"/>
      <c r="L181" s="95"/>
      <c r="M181" s="95"/>
      <c r="N181" s="81"/>
    </row>
    <row r="182" spans="1:14" ht="20">
      <c r="A182" s="94" t="s">
        <v>297</v>
      </c>
      <c r="B182" s="95"/>
      <c r="C182" s="95"/>
      <c r="D182" s="95"/>
      <c r="E182" s="95"/>
      <c r="F182" s="95"/>
      <c r="G182" s="95"/>
      <c r="H182" s="143"/>
      <c r="I182" s="95"/>
      <c r="J182" s="95"/>
      <c r="K182" s="95"/>
      <c r="L182" s="95"/>
      <c r="M182" s="95"/>
      <c r="N182" s="81"/>
    </row>
    <row r="183" spans="1:14" ht="21" customHeight="1">
      <c r="A183" s="97" t="s">
        <v>298</v>
      </c>
      <c r="B183" s="95">
        <v>0</v>
      </c>
      <c r="C183" s="95">
        <v>0</v>
      </c>
      <c r="D183" s="95">
        <v>0</v>
      </c>
      <c r="E183" s="95">
        <v>0</v>
      </c>
      <c r="F183" s="95">
        <v>0</v>
      </c>
      <c r="G183" s="95">
        <v>0</v>
      </c>
      <c r="H183" s="143"/>
      <c r="I183" s="95"/>
      <c r="J183" s="95"/>
      <c r="K183" s="95"/>
      <c r="L183" s="95"/>
      <c r="M183" s="95"/>
      <c r="N183" s="81"/>
    </row>
    <row r="184" spans="1:14" ht="22" customHeight="1">
      <c r="A184" s="97" t="s">
        <v>299</v>
      </c>
      <c r="B184" s="95"/>
      <c r="C184" s="95"/>
      <c r="D184" s="95"/>
      <c r="E184" s="95"/>
      <c r="F184" s="95"/>
      <c r="G184" s="95"/>
      <c r="H184" s="143"/>
      <c r="I184" s="95"/>
      <c r="J184" s="95"/>
      <c r="K184" s="95"/>
      <c r="L184" s="95"/>
      <c r="M184" s="95"/>
      <c r="N184" s="81"/>
    </row>
    <row r="185" spans="1:14" ht="20">
      <c r="A185" s="94" t="s">
        <v>105</v>
      </c>
      <c r="B185" s="95">
        <v>0</v>
      </c>
      <c r="C185" s="95">
        <v>0</v>
      </c>
      <c r="D185" s="95">
        <v>1260</v>
      </c>
      <c r="E185" s="95">
        <v>0</v>
      </c>
      <c r="F185" s="95">
        <v>1260</v>
      </c>
      <c r="G185" s="95">
        <v>0</v>
      </c>
      <c r="H185" s="143"/>
      <c r="I185" s="95"/>
      <c r="J185" s="95">
        <v>1680</v>
      </c>
      <c r="K185" s="95"/>
      <c r="L185" s="95"/>
      <c r="M185" s="95">
        <v>1260</v>
      </c>
      <c r="N185" s="81"/>
    </row>
    <row r="186" spans="1:14" ht="20">
      <c r="A186" s="94" t="s">
        <v>106</v>
      </c>
      <c r="B186" s="95">
        <v>0</v>
      </c>
      <c r="C186" s="95">
        <v>0</v>
      </c>
      <c r="D186" s="95">
        <v>66</v>
      </c>
      <c r="E186" s="95">
        <v>0</v>
      </c>
      <c r="F186" s="95">
        <v>0</v>
      </c>
      <c r="G186" s="95">
        <v>49</v>
      </c>
      <c r="H186" s="143"/>
      <c r="I186" s="95"/>
      <c r="J186" s="95"/>
      <c r="K186" s="95"/>
      <c r="L186" s="95"/>
      <c r="M186" s="95"/>
      <c r="N186" s="81"/>
    </row>
    <row r="187" spans="1:14" ht="20">
      <c r="A187" s="94" t="s">
        <v>107</v>
      </c>
      <c r="B187" s="95">
        <v>0</v>
      </c>
      <c r="C187" s="95">
        <v>0</v>
      </c>
      <c r="D187" s="95">
        <v>77</v>
      </c>
      <c r="E187" s="95">
        <v>0</v>
      </c>
      <c r="F187" s="95">
        <v>0</v>
      </c>
      <c r="G187" s="95">
        <v>0</v>
      </c>
      <c r="H187" s="143"/>
      <c r="I187" s="95"/>
      <c r="J187" s="95"/>
      <c r="K187" s="95"/>
      <c r="L187" s="95"/>
      <c r="M187" s="95"/>
      <c r="N187" s="81"/>
    </row>
    <row r="188" spans="1:14" ht="20">
      <c r="A188" s="94" t="s">
        <v>108</v>
      </c>
      <c r="B188" s="95">
        <v>0</v>
      </c>
      <c r="C188" s="95">
        <v>80.58</v>
      </c>
      <c r="D188" s="95">
        <v>0</v>
      </c>
      <c r="E188" s="95">
        <v>0</v>
      </c>
      <c r="F188" s="95">
        <v>0</v>
      </c>
      <c r="G188" s="95">
        <v>0</v>
      </c>
      <c r="H188" s="143"/>
      <c r="I188" s="95"/>
      <c r="J188" s="95"/>
      <c r="K188" s="95"/>
      <c r="L188" s="95"/>
      <c r="M188" s="95"/>
      <c r="N188" s="81"/>
    </row>
    <row r="189" spans="1:14" ht="20">
      <c r="A189" s="94" t="s">
        <v>109</v>
      </c>
      <c r="B189" s="95">
        <v>108.3</v>
      </c>
      <c r="C189" s="95">
        <v>0</v>
      </c>
      <c r="D189" s="95">
        <v>0</v>
      </c>
      <c r="E189" s="95">
        <v>0</v>
      </c>
      <c r="F189" s="95">
        <v>509.6</v>
      </c>
      <c r="G189" s="95">
        <v>0</v>
      </c>
      <c r="H189" s="143">
        <v>274.77999999999997</v>
      </c>
      <c r="I189" s="95"/>
      <c r="J189" s="95"/>
      <c r="K189" s="95"/>
      <c r="L189" s="95"/>
      <c r="M189" s="95"/>
      <c r="N189" s="81"/>
    </row>
    <row r="190" spans="1:14" ht="20">
      <c r="A190" s="94" t="s">
        <v>110</v>
      </c>
      <c r="B190" s="95">
        <v>59.84</v>
      </c>
      <c r="C190" s="95">
        <v>0</v>
      </c>
      <c r="D190" s="95">
        <v>0</v>
      </c>
      <c r="E190" s="95">
        <v>0</v>
      </c>
      <c r="F190" s="95">
        <v>0</v>
      </c>
      <c r="G190" s="95">
        <v>0</v>
      </c>
      <c r="H190" s="143">
        <v>67.8</v>
      </c>
      <c r="I190" s="95"/>
      <c r="J190" s="95">
        <v>339.24</v>
      </c>
      <c r="K190" s="95"/>
      <c r="L190" s="95"/>
      <c r="M190" s="95"/>
      <c r="N190" s="81"/>
    </row>
    <row r="191" spans="1:14" ht="20">
      <c r="A191" s="94" t="s">
        <v>111</v>
      </c>
      <c r="B191" s="95">
        <v>0</v>
      </c>
      <c r="C191" s="95">
        <v>0</v>
      </c>
      <c r="D191" s="95">
        <v>0</v>
      </c>
      <c r="E191" s="95">
        <v>136</v>
      </c>
      <c r="F191" s="95">
        <v>99.56</v>
      </c>
      <c r="G191" s="95">
        <v>0</v>
      </c>
      <c r="H191" s="143">
        <v>271.39999999999998</v>
      </c>
      <c r="I191" s="95"/>
      <c r="J191" s="95"/>
      <c r="K191" s="95">
        <v>152.88999999999999</v>
      </c>
      <c r="L191" s="95">
        <v>87.92</v>
      </c>
      <c r="M191" s="95">
        <v>206.83</v>
      </c>
      <c r="N191" s="81"/>
    </row>
    <row r="192" spans="1:14" ht="20">
      <c r="A192" s="94" t="s">
        <v>300</v>
      </c>
      <c r="B192" s="95"/>
      <c r="C192" s="95"/>
      <c r="D192" s="95"/>
      <c r="E192" s="95"/>
      <c r="F192" s="95"/>
      <c r="G192" s="95"/>
      <c r="H192" s="143"/>
      <c r="I192" s="95"/>
      <c r="J192" s="95"/>
      <c r="K192" s="95"/>
      <c r="L192" s="95"/>
      <c r="M192" s="95"/>
      <c r="N192" s="81"/>
    </row>
    <row r="193" spans="1:14" ht="20">
      <c r="A193" s="97" t="s">
        <v>301</v>
      </c>
      <c r="B193" s="95"/>
      <c r="C193" s="95"/>
      <c r="D193" s="95"/>
      <c r="E193" s="95"/>
      <c r="F193" s="95"/>
      <c r="G193" s="95"/>
      <c r="H193" s="143"/>
      <c r="I193" s="95"/>
      <c r="J193" s="95"/>
      <c r="K193" s="95"/>
      <c r="L193" s="95"/>
      <c r="M193" s="95"/>
      <c r="N193" s="81"/>
    </row>
    <row r="194" spans="1:14" ht="40">
      <c r="A194" s="94" t="s">
        <v>112</v>
      </c>
      <c r="B194" s="95">
        <v>446</v>
      </c>
      <c r="C194" s="95">
        <v>0</v>
      </c>
      <c r="D194" s="95">
        <v>748</v>
      </c>
      <c r="E194" s="95">
        <v>0</v>
      </c>
      <c r="F194" s="95">
        <v>718.1</v>
      </c>
      <c r="G194" s="95">
        <v>0</v>
      </c>
      <c r="H194" s="143">
        <v>745</v>
      </c>
      <c r="I194" s="95">
        <v>373</v>
      </c>
      <c r="J194" s="95">
        <v>437.5</v>
      </c>
      <c r="K194" s="95">
        <v>519</v>
      </c>
      <c r="L194" s="95">
        <v>620.20000000000005</v>
      </c>
      <c r="M194" s="95"/>
      <c r="N194" s="81"/>
    </row>
    <row r="195" spans="1:14" ht="20">
      <c r="A195" s="94" t="s">
        <v>113</v>
      </c>
      <c r="B195" s="95">
        <v>211</v>
      </c>
      <c r="C195" s="95">
        <v>0</v>
      </c>
      <c r="D195" s="95">
        <v>0</v>
      </c>
      <c r="E195" s="95">
        <v>276</v>
      </c>
      <c r="F195" s="95">
        <v>302</v>
      </c>
      <c r="G195" s="95">
        <v>0</v>
      </c>
      <c r="H195" s="143">
        <v>23</v>
      </c>
      <c r="I195" s="95">
        <v>551.5</v>
      </c>
      <c r="J195" s="95">
        <v>155.5</v>
      </c>
      <c r="K195" s="95"/>
      <c r="L195" s="95"/>
      <c r="M195" s="95"/>
      <c r="N195" s="81"/>
    </row>
    <row r="196" spans="1:14" ht="20">
      <c r="A196" s="94" t="s">
        <v>302</v>
      </c>
      <c r="B196" s="95">
        <v>0</v>
      </c>
      <c r="C196" s="95">
        <v>124</v>
      </c>
      <c r="D196" s="95">
        <v>207.7</v>
      </c>
      <c r="E196" s="95">
        <v>0</v>
      </c>
      <c r="F196" s="95">
        <v>0</v>
      </c>
      <c r="G196" s="95">
        <v>0</v>
      </c>
      <c r="H196" s="143"/>
      <c r="I196" s="95"/>
      <c r="J196" s="95"/>
      <c r="K196" s="95"/>
      <c r="L196" s="95"/>
      <c r="M196" s="95"/>
      <c r="N196" s="81"/>
    </row>
    <row r="197" spans="1:14" ht="20">
      <c r="A197" s="94" t="s">
        <v>303</v>
      </c>
      <c r="B197" s="95"/>
      <c r="C197" s="95"/>
      <c r="D197" s="95"/>
      <c r="E197" s="95"/>
      <c r="F197" s="95"/>
      <c r="G197" s="95"/>
      <c r="H197" s="143"/>
      <c r="I197" s="95"/>
      <c r="J197" s="95"/>
      <c r="K197" s="95"/>
      <c r="L197" s="95"/>
      <c r="M197" s="95"/>
      <c r="N197" s="81"/>
    </row>
    <row r="198" spans="1:14" ht="20">
      <c r="A198" s="97" t="s">
        <v>304</v>
      </c>
      <c r="B198" s="95"/>
      <c r="C198" s="95"/>
      <c r="D198" s="95"/>
      <c r="E198" s="95"/>
      <c r="F198" s="95"/>
      <c r="G198" s="95"/>
      <c r="H198" s="143"/>
      <c r="I198" s="95"/>
      <c r="J198" s="95"/>
      <c r="K198" s="95"/>
      <c r="L198" s="95"/>
      <c r="M198" s="95"/>
      <c r="N198" s="81"/>
    </row>
    <row r="199" spans="1:14" ht="40">
      <c r="A199" s="94" t="s">
        <v>114</v>
      </c>
      <c r="B199" s="95">
        <v>0</v>
      </c>
      <c r="C199" s="95">
        <v>0</v>
      </c>
      <c r="D199" s="95">
        <v>600</v>
      </c>
      <c r="E199" s="95">
        <v>0</v>
      </c>
      <c r="F199" s="95">
        <v>0</v>
      </c>
      <c r="G199" s="95">
        <v>0</v>
      </c>
      <c r="H199" s="143"/>
      <c r="I199" s="95">
        <v>164.5</v>
      </c>
      <c r="J199" s="95">
        <v>414.02</v>
      </c>
      <c r="K199" s="95">
        <v>144.6</v>
      </c>
      <c r="L199" s="95">
        <v>193.2</v>
      </c>
      <c r="M199" s="95">
        <v>212.56</v>
      </c>
      <c r="N199" s="81"/>
    </row>
    <row r="200" spans="1:14" ht="20">
      <c r="A200" s="94" t="s">
        <v>115</v>
      </c>
      <c r="B200" s="95">
        <v>0</v>
      </c>
      <c r="C200" s="95">
        <v>0</v>
      </c>
      <c r="D200" s="95">
        <v>0</v>
      </c>
      <c r="E200" s="95">
        <v>0</v>
      </c>
      <c r="F200" s="95">
        <v>0</v>
      </c>
      <c r="G200" s="95">
        <v>0</v>
      </c>
      <c r="H200" s="143">
        <v>341.09</v>
      </c>
      <c r="I200" s="95"/>
      <c r="J200" s="95"/>
      <c r="K200" s="95"/>
      <c r="L200" s="95"/>
      <c r="M200" s="95"/>
      <c r="N200" s="81"/>
    </row>
    <row r="201" spans="1:14" ht="20">
      <c r="A201" s="94" t="s">
        <v>116</v>
      </c>
      <c r="B201" s="95">
        <v>93.03</v>
      </c>
      <c r="C201" s="95">
        <v>68.45</v>
      </c>
      <c r="D201" s="95">
        <v>59.4</v>
      </c>
      <c r="E201" s="95">
        <v>70.17</v>
      </c>
      <c r="F201" s="95">
        <v>104.32</v>
      </c>
      <c r="G201" s="95">
        <v>82.05</v>
      </c>
      <c r="H201" s="143"/>
      <c r="I201" s="95">
        <v>118.33</v>
      </c>
      <c r="J201" s="95">
        <v>126.6</v>
      </c>
      <c r="K201" s="95">
        <v>52.11</v>
      </c>
      <c r="L201" s="95">
        <v>74.459999999999994</v>
      </c>
      <c r="M201" s="95">
        <v>8.08</v>
      </c>
      <c r="N201" s="81"/>
    </row>
    <row r="202" spans="1:14" ht="20">
      <c r="A202" s="94" t="s">
        <v>117</v>
      </c>
      <c r="B202" s="95">
        <v>0</v>
      </c>
      <c r="C202" s="95">
        <v>0</v>
      </c>
      <c r="D202" s="95">
        <v>0</v>
      </c>
      <c r="E202" s="95">
        <v>0</v>
      </c>
      <c r="F202" s="95">
        <v>8.76</v>
      </c>
      <c r="G202" s="95">
        <v>0</v>
      </c>
      <c r="H202" s="143"/>
      <c r="I202" s="95"/>
      <c r="J202" s="95"/>
      <c r="K202" s="95"/>
      <c r="L202" s="95"/>
      <c r="M202" s="95"/>
      <c r="N202" s="81"/>
    </row>
    <row r="203" spans="1:14" ht="20">
      <c r="A203" s="94" t="s">
        <v>305</v>
      </c>
      <c r="B203" s="95"/>
      <c r="C203" s="95"/>
      <c r="D203" s="95"/>
      <c r="E203" s="95"/>
      <c r="F203" s="95"/>
      <c r="G203" s="95"/>
      <c r="H203" s="143">
        <v>604.83000000000004</v>
      </c>
      <c r="I203" s="95">
        <v>2589.67</v>
      </c>
      <c r="J203" s="95"/>
      <c r="K203" s="95">
        <v>616.83000000000004</v>
      </c>
      <c r="L203" s="95">
        <v>2072</v>
      </c>
      <c r="M203" s="95">
        <v>200</v>
      </c>
      <c r="N203" s="81"/>
    </row>
    <row r="204" spans="1:14" ht="20">
      <c r="A204" s="94" t="s">
        <v>306</v>
      </c>
      <c r="B204" s="95"/>
      <c r="C204" s="95"/>
      <c r="D204" s="95"/>
      <c r="E204" s="95"/>
      <c r="F204" s="95"/>
      <c r="G204" s="95"/>
      <c r="H204" s="143"/>
      <c r="I204" s="95"/>
      <c r="J204" s="95"/>
      <c r="K204" s="95"/>
      <c r="L204" s="95"/>
      <c r="M204" s="95"/>
      <c r="N204" s="81"/>
    </row>
    <row r="205" spans="1:14" ht="20">
      <c r="A205" s="97" t="s">
        <v>307</v>
      </c>
      <c r="B205" s="95"/>
      <c r="C205" s="95"/>
      <c r="D205" s="95"/>
      <c r="E205" s="95"/>
      <c r="F205" s="95"/>
      <c r="G205" s="95"/>
      <c r="H205" s="143"/>
      <c r="I205" s="95"/>
      <c r="J205" s="95"/>
      <c r="K205" s="95"/>
      <c r="L205" s="95"/>
      <c r="M205" s="95"/>
      <c r="N205" s="81"/>
    </row>
    <row r="206" spans="1:14" ht="20">
      <c r="A206" s="94" t="s">
        <v>119</v>
      </c>
      <c r="B206" s="95">
        <v>216.82</v>
      </c>
      <c r="C206" s="95">
        <v>216.82</v>
      </c>
      <c r="D206" s="95">
        <v>216.82</v>
      </c>
      <c r="E206" s="95">
        <v>216.82</v>
      </c>
      <c r="F206" s="95">
        <v>216.82</v>
      </c>
      <c r="G206" s="95">
        <v>216.82</v>
      </c>
      <c r="H206" s="143">
        <v>216.82</v>
      </c>
      <c r="I206" s="95">
        <v>216.82</v>
      </c>
      <c r="J206" s="95">
        <v>221.64</v>
      </c>
      <c r="K206" s="95">
        <v>216.82</v>
      </c>
      <c r="L206" s="95">
        <v>224.63</v>
      </c>
      <c r="M206" s="95">
        <v>766.2</v>
      </c>
      <c r="N206" s="81"/>
    </row>
    <row r="207" spans="1:14" ht="20">
      <c r="A207" s="94" t="s">
        <v>120</v>
      </c>
      <c r="B207" s="95">
        <v>199.99</v>
      </c>
      <c r="C207" s="95">
        <v>199.99</v>
      </c>
      <c r="D207" s="95">
        <v>199.99</v>
      </c>
      <c r="E207" s="95">
        <v>199.99</v>
      </c>
      <c r="F207" s="95">
        <v>211.4</v>
      </c>
      <c r="G207" s="95">
        <v>214.99</v>
      </c>
      <c r="H207" s="143">
        <v>214.65</v>
      </c>
      <c r="I207" s="95">
        <v>214.99</v>
      </c>
      <c r="J207" s="95">
        <v>220.13</v>
      </c>
      <c r="K207" s="95">
        <v>194.99</v>
      </c>
      <c r="L207" s="95">
        <v>214.99</v>
      </c>
      <c r="M207" s="95">
        <v>214.99</v>
      </c>
      <c r="N207" s="81"/>
    </row>
    <row r="208" spans="1:14" ht="20">
      <c r="A208" s="94" t="s">
        <v>121</v>
      </c>
      <c r="B208" s="95">
        <v>39.99</v>
      </c>
      <c r="C208" s="95">
        <v>39.99</v>
      </c>
      <c r="D208" s="95">
        <v>39.99</v>
      </c>
      <c r="E208" s="95">
        <v>39.99</v>
      </c>
      <c r="F208" s="95">
        <v>39.99</v>
      </c>
      <c r="G208" s="95">
        <v>39.99</v>
      </c>
      <c r="H208" s="143">
        <v>40.97</v>
      </c>
      <c r="I208" s="95">
        <v>39.99</v>
      </c>
      <c r="J208" s="95">
        <v>39.99</v>
      </c>
      <c r="K208" s="95">
        <v>39.99</v>
      </c>
      <c r="L208" s="95">
        <v>41.17</v>
      </c>
      <c r="M208" s="95">
        <v>31.94</v>
      </c>
      <c r="N208" s="81"/>
    </row>
    <row r="209" spans="1:14" ht="20">
      <c r="A209" s="82" t="s">
        <v>308</v>
      </c>
      <c r="B209" s="95"/>
      <c r="C209" s="95"/>
      <c r="D209" s="95"/>
      <c r="E209" s="95"/>
      <c r="F209" s="95"/>
      <c r="G209" s="95"/>
      <c r="H209" s="143"/>
      <c r="I209" s="95"/>
      <c r="J209" s="95"/>
      <c r="K209" s="95"/>
      <c r="L209" s="95"/>
      <c r="M209" s="95"/>
      <c r="N209" s="81"/>
    </row>
    <row r="210" spans="1:14" ht="21" customHeight="1">
      <c r="A210" s="97" t="s">
        <v>309</v>
      </c>
      <c r="B210" s="95"/>
      <c r="C210" s="95"/>
      <c r="D210" s="95"/>
      <c r="E210" s="95"/>
      <c r="F210" s="95"/>
      <c r="G210" s="95"/>
      <c r="H210" s="143"/>
      <c r="I210" s="95"/>
      <c r="J210" s="95"/>
      <c r="K210" s="95"/>
      <c r="L210" s="95"/>
      <c r="M210" s="95"/>
      <c r="N210" s="81"/>
    </row>
    <row r="211" spans="1:14" ht="21" customHeight="1">
      <c r="A211" s="94" t="s">
        <v>310</v>
      </c>
      <c r="B211" s="95">
        <v>76</v>
      </c>
      <c r="C211" s="95">
        <v>0</v>
      </c>
      <c r="D211" s="95">
        <v>0</v>
      </c>
      <c r="E211" s="95">
        <v>0</v>
      </c>
      <c r="F211" s="95">
        <v>0</v>
      </c>
      <c r="G211" s="95">
        <v>0</v>
      </c>
      <c r="H211" s="143"/>
      <c r="I211" s="95"/>
      <c r="J211" s="95"/>
      <c r="K211" s="95"/>
      <c r="L211" s="95"/>
      <c r="M211" s="95">
        <v>1439.88</v>
      </c>
      <c r="N211" s="81"/>
    </row>
    <row r="212" spans="1:14" ht="21" customHeight="1">
      <c r="A212" s="94" t="s">
        <v>311</v>
      </c>
      <c r="B212" s="95">
        <v>0</v>
      </c>
      <c r="C212" s="95">
        <v>0</v>
      </c>
      <c r="D212" s="95">
        <v>0</v>
      </c>
      <c r="E212" s="95">
        <v>3240</v>
      </c>
      <c r="F212" s="95">
        <v>0</v>
      </c>
      <c r="G212" s="95">
        <v>0</v>
      </c>
      <c r="H212" s="143"/>
      <c r="I212" s="95"/>
      <c r="J212" s="95"/>
      <c r="K212" s="95"/>
      <c r="L212" s="95"/>
      <c r="M212" s="95"/>
      <c r="N212" s="81"/>
    </row>
    <row r="213" spans="1:14" ht="21" customHeight="1">
      <c r="A213" s="94" t="s">
        <v>312</v>
      </c>
      <c r="B213" s="95">
        <v>0</v>
      </c>
      <c r="C213" s="95">
        <v>0</v>
      </c>
      <c r="D213" s="95">
        <v>0</v>
      </c>
      <c r="E213" s="95">
        <v>816.75</v>
      </c>
      <c r="F213" s="95">
        <v>0</v>
      </c>
      <c r="G213" s="95">
        <v>0</v>
      </c>
      <c r="H213" s="143"/>
      <c r="I213" s="95"/>
      <c r="J213" s="95"/>
      <c r="K213" s="95"/>
      <c r="L213" s="95"/>
      <c r="M213" s="95"/>
      <c r="N213" s="81"/>
    </row>
    <row r="214" spans="1:14" ht="21" customHeight="1">
      <c r="A214" s="94" t="s">
        <v>313</v>
      </c>
      <c r="B214" s="95">
        <f>SUM(B211)</f>
        <v>76</v>
      </c>
      <c r="C214" s="95">
        <v>0</v>
      </c>
      <c r="D214" s="95">
        <v>0</v>
      </c>
      <c r="E214" s="95">
        <f>SUM(E211:E213)</f>
        <v>4056.75</v>
      </c>
      <c r="F214" s="95">
        <v>0</v>
      </c>
      <c r="G214" s="95">
        <v>0</v>
      </c>
      <c r="H214" s="143"/>
      <c r="I214" s="95"/>
      <c r="J214" s="95"/>
      <c r="K214" s="95"/>
      <c r="L214" s="95"/>
      <c r="M214" s="95"/>
      <c r="N214" s="81"/>
    </row>
    <row r="215" spans="1:14" ht="21" customHeight="1">
      <c r="A215" s="112" t="s">
        <v>314</v>
      </c>
      <c r="B215" s="95"/>
      <c r="C215" s="95"/>
      <c r="D215" s="95"/>
      <c r="E215" s="95"/>
      <c r="F215" s="95"/>
      <c r="G215" s="95"/>
      <c r="H215" s="143"/>
      <c r="I215" s="95"/>
      <c r="J215" s="95"/>
      <c r="K215" s="95"/>
      <c r="L215" s="95"/>
      <c r="M215" s="95"/>
      <c r="N215" s="81"/>
    </row>
    <row r="216" spans="1:14" ht="21" customHeight="1">
      <c r="A216" s="97" t="s">
        <v>315</v>
      </c>
      <c r="B216" s="95"/>
      <c r="C216" s="95"/>
      <c r="D216" s="95"/>
      <c r="E216" s="95"/>
      <c r="F216" s="95"/>
      <c r="G216" s="95"/>
      <c r="H216" s="143"/>
      <c r="I216" s="95"/>
      <c r="J216" s="95"/>
      <c r="K216" s="95"/>
      <c r="L216" s="95"/>
      <c r="M216" s="95"/>
      <c r="N216" s="81"/>
    </row>
    <row r="217" spans="1:14" ht="20">
      <c r="A217" s="94" t="s">
        <v>316</v>
      </c>
      <c r="B217" s="95">
        <v>275</v>
      </c>
      <c r="C217" s="95">
        <v>275</v>
      </c>
      <c r="D217" s="95">
        <v>275</v>
      </c>
      <c r="E217" s="95">
        <v>275</v>
      </c>
      <c r="F217" s="95">
        <v>275</v>
      </c>
      <c r="G217" s="95">
        <v>275</v>
      </c>
      <c r="H217" s="143">
        <v>275</v>
      </c>
      <c r="I217" s="95">
        <v>275</v>
      </c>
      <c r="J217" s="95">
        <v>275</v>
      </c>
      <c r="K217" s="95">
        <v>275</v>
      </c>
      <c r="L217" s="95">
        <v>275</v>
      </c>
      <c r="M217" s="95">
        <v>275</v>
      </c>
      <c r="N217" s="106"/>
    </row>
    <row r="218" spans="1:14" ht="21" customHeight="1">
      <c r="A218" s="94" t="s">
        <v>317</v>
      </c>
      <c r="B218" s="95">
        <v>139</v>
      </c>
      <c r="C218" s="95">
        <v>139</v>
      </c>
      <c r="D218" s="95">
        <v>139</v>
      </c>
      <c r="E218" s="95">
        <v>139</v>
      </c>
      <c r="F218" s="95">
        <v>139</v>
      </c>
      <c r="G218" s="95">
        <v>139</v>
      </c>
      <c r="H218" s="143">
        <v>139</v>
      </c>
      <c r="I218" s="95">
        <v>139</v>
      </c>
      <c r="J218" s="95">
        <v>139</v>
      </c>
      <c r="K218" s="95">
        <v>139</v>
      </c>
      <c r="L218" s="95">
        <v>139</v>
      </c>
      <c r="M218" s="95">
        <v>139</v>
      </c>
      <c r="N218" s="106"/>
    </row>
    <row r="219" spans="1:14" ht="21" customHeight="1">
      <c r="A219" s="94" t="s">
        <v>318</v>
      </c>
      <c r="B219" s="95">
        <v>0</v>
      </c>
      <c r="C219" s="95">
        <v>478.8</v>
      </c>
      <c r="D219" s="95">
        <v>0</v>
      </c>
      <c r="E219" s="95">
        <v>0</v>
      </c>
      <c r="F219" s="95">
        <v>0</v>
      </c>
      <c r="G219" s="95">
        <v>0</v>
      </c>
      <c r="H219" s="143"/>
      <c r="I219" s="95"/>
      <c r="J219" s="95"/>
      <c r="K219" s="95"/>
      <c r="L219" s="95"/>
      <c r="M219" s="95"/>
      <c r="N219" s="106"/>
    </row>
    <row r="220" spans="1:14" ht="21" customHeight="1">
      <c r="A220" s="94" t="s">
        <v>319</v>
      </c>
      <c r="B220" s="95">
        <v>0</v>
      </c>
      <c r="C220" s="95">
        <v>1028.1600000000001</v>
      </c>
      <c r="D220" s="95">
        <v>0</v>
      </c>
      <c r="E220" s="95">
        <v>0</v>
      </c>
      <c r="F220" s="95">
        <v>0</v>
      </c>
      <c r="G220" s="95">
        <v>0</v>
      </c>
      <c r="H220" s="143"/>
      <c r="I220" s="95"/>
      <c r="J220" s="95"/>
      <c r="K220" s="95"/>
      <c r="L220" s="95"/>
      <c r="M220" s="95"/>
      <c r="N220" s="106"/>
    </row>
    <row r="221" spans="1:14" ht="21" customHeight="1">
      <c r="A221" s="94" t="s">
        <v>320</v>
      </c>
      <c r="B221" s="95">
        <v>0</v>
      </c>
      <c r="C221" s="95">
        <v>119.9</v>
      </c>
      <c r="D221" s="95">
        <v>0</v>
      </c>
      <c r="E221" s="95">
        <v>0</v>
      </c>
      <c r="F221" s="95">
        <v>0</v>
      </c>
      <c r="G221" s="95">
        <v>0</v>
      </c>
      <c r="H221" s="143"/>
      <c r="I221" s="95"/>
      <c r="J221" s="95"/>
      <c r="K221" s="95"/>
      <c r="L221" s="95"/>
      <c r="M221" s="95"/>
      <c r="N221" s="106"/>
    </row>
    <row r="222" spans="1:14" ht="20">
      <c r="A222" s="94" t="s">
        <v>321</v>
      </c>
      <c r="B222" s="95">
        <v>0</v>
      </c>
      <c r="C222" s="95">
        <v>449</v>
      </c>
      <c r="D222" s="95">
        <v>449</v>
      </c>
      <c r="E222" s="95">
        <v>0</v>
      </c>
      <c r="F222" s="95">
        <v>0</v>
      </c>
      <c r="G222" s="95">
        <v>0</v>
      </c>
      <c r="H222" s="143"/>
      <c r="I222" s="95"/>
      <c r="J222" s="95"/>
      <c r="K222" s="95"/>
      <c r="L222" s="95"/>
      <c r="M222" s="95"/>
      <c r="N222" s="106"/>
    </row>
    <row r="223" spans="1:14" ht="22" customHeight="1">
      <c r="A223" s="94" t="s">
        <v>322</v>
      </c>
      <c r="B223" s="95">
        <v>0</v>
      </c>
      <c r="C223" s="95">
        <v>0</v>
      </c>
      <c r="D223" s="95">
        <v>110</v>
      </c>
      <c r="E223" s="95">
        <v>0</v>
      </c>
      <c r="F223" s="95">
        <v>0</v>
      </c>
      <c r="G223" s="95">
        <v>330</v>
      </c>
      <c r="H223" s="143"/>
      <c r="I223" s="95">
        <v>110</v>
      </c>
      <c r="J223" s="95">
        <v>220</v>
      </c>
      <c r="K223" s="95"/>
      <c r="L223" s="95"/>
      <c r="M223" s="95">
        <v>465.2</v>
      </c>
      <c r="N223" s="106"/>
    </row>
    <row r="224" spans="1:14" ht="22" customHeight="1">
      <c r="A224" s="94" t="s">
        <v>323</v>
      </c>
      <c r="B224" s="95">
        <v>0</v>
      </c>
      <c r="C224" s="95">
        <v>0</v>
      </c>
      <c r="D224" s="95">
        <v>0</v>
      </c>
      <c r="E224" s="95">
        <v>0</v>
      </c>
      <c r="F224" s="95">
        <v>0</v>
      </c>
      <c r="G224" s="95">
        <v>720</v>
      </c>
      <c r="H224" s="143"/>
      <c r="I224" s="95"/>
      <c r="J224" s="95"/>
      <c r="K224" s="95"/>
      <c r="L224" s="95"/>
      <c r="M224" s="95"/>
      <c r="N224" s="106"/>
    </row>
    <row r="225" spans="1:14" ht="22" customHeight="1">
      <c r="A225" s="94" t="s">
        <v>324</v>
      </c>
      <c r="B225" s="95">
        <v>0</v>
      </c>
      <c r="C225" s="95">
        <v>365.95</v>
      </c>
      <c r="D225" s="95">
        <v>0</v>
      </c>
      <c r="E225" s="95">
        <v>0</v>
      </c>
      <c r="F225" s="95">
        <v>0</v>
      </c>
      <c r="G225" s="95">
        <v>0</v>
      </c>
      <c r="H225" s="143"/>
      <c r="I225" s="95"/>
      <c r="J225" s="95"/>
      <c r="K225" s="95"/>
      <c r="L225" s="95"/>
      <c r="M225" s="95"/>
      <c r="N225" s="106"/>
    </row>
    <row r="226" spans="1:14" ht="22" customHeight="1">
      <c r="A226" s="94" t="s">
        <v>325</v>
      </c>
      <c r="B226" s="95">
        <v>0</v>
      </c>
      <c r="C226" s="95">
        <v>315</v>
      </c>
      <c r="D226" s="95">
        <v>0</v>
      </c>
      <c r="E226" s="95">
        <v>0</v>
      </c>
      <c r="F226" s="95">
        <v>0</v>
      </c>
      <c r="G226" s="95">
        <v>0</v>
      </c>
      <c r="H226" s="143"/>
      <c r="I226" s="95"/>
      <c r="J226" s="95"/>
      <c r="K226" s="95"/>
      <c r="L226" s="95"/>
      <c r="M226" s="95"/>
      <c r="N226" s="106"/>
    </row>
    <row r="227" spans="1:14" ht="21" customHeight="1">
      <c r="A227" s="82" t="s">
        <v>326</v>
      </c>
      <c r="B227" s="95">
        <v>848.25</v>
      </c>
      <c r="C227" s="95">
        <v>889.22</v>
      </c>
      <c r="D227" s="95">
        <v>889.22</v>
      </c>
      <c r="E227" s="95">
        <v>889.22</v>
      </c>
      <c r="F227" s="95">
        <v>889.22</v>
      </c>
      <c r="G227" s="95">
        <v>889.22</v>
      </c>
      <c r="H227" s="143">
        <v>889.22</v>
      </c>
      <c r="I227" s="95">
        <v>889.22</v>
      </c>
      <c r="J227" s="95">
        <v>889.22</v>
      </c>
      <c r="K227" s="95">
        <v>889.22</v>
      </c>
      <c r="L227" s="95">
        <v>889.22</v>
      </c>
      <c r="M227" s="95">
        <v>889.22</v>
      </c>
      <c r="N227" s="106"/>
    </row>
    <row r="228" spans="1:14" ht="21" customHeight="1">
      <c r="A228" s="137" t="s">
        <v>327</v>
      </c>
      <c r="B228" s="95"/>
      <c r="C228" s="95"/>
      <c r="D228" s="95"/>
      <c r="E228" s="95"/>
      <c r="F228" s="95"/>
      <c r="G228" s="95"/>
      <c r="H228" s="143"/>
      <c r="I228" s="95"/>
      <c r="J228" s="95"/>
      <c r="K228" s="95"/>
      <c r="L228" s="95"/>
      <c r="M228" s="95">
        <v>12.5</v>
      </c>
      <c r="N228" s="106"/>
    </row>
    <row r="229" spans="1:14" ht="21" customHeight="1">
      <c r="A229" s="137" t="s">
        <v>328</v>
      </c>
      <c r="B229" s="95"/>
      <c r="C229" s="95"/>
      <c r="D229" s="95"/>
      <c r="E229" s="95"/>
      <c r="F229" s="95"/>
      <c r="G229" s="95"/>
      <c r="H229" s="143"/>
      <c r="I229" s="95"/>
      <c r="J229" s="95"/>
      <c r="K229" s="95"/>
      <c r="L229" s="95"/>
      <c r="M229" s="95">
        <v>167.62</v>
      </c>
      <c r="N229" s="106"/>
    </row>
    <row r="230" spans="1:14" ht="21" customHeight="1">
      <c r="A230" s="137" t="s">
        <v>329</v>
      </c>
      <c r="B230" s="95"/>
      <c r="C230" s="95"/>
      <c r="D230" s="95"/>
      <c r="E230" s="95"/>
      <c r="F230" s="95"/>
      <c r="G230" s="95"/>
      <c r="H230" s="143"/>
      <c r="I230" s="95"/>
      <c r="J230" s="95"/>
      <c r="K230" s="95">
        <v>180</v>
      </c>
      <c r="L230" s="95"/>
      <c r="M230" s="95"/>
      <c r="N230" s="106"/>
    </row>
    <row r="231" spans="1:14" ht="21" customHeight="1">
      <c r="A231" s="137" t="s">
        <v>330</v>
      </c>
      <c r="B231" s="95"/>
      <c r="C231" s="95"/>
      <c r="D231" s="95"/>
      <c r="E231" s="95"/>
      <c r="F231" s="95"/>
      <c r="G231" s="95"/>
      <c r="H231" s="143"/>
      <c r="I231" s="95"/>
      <c r="J231" s="95"/>
      <c r="K231" s="95"/>
      <c r="L231" s="95"/>
      <c r="M231" s="95">
        <v>1110.42</v>
      </c>
      <c r="N231" s="106"/>
    </row>
    <row r="232" spans="1:14" ht="21" customHeight="1">
      <c r="A232" s="82" t="s">
        <v>331</v>
      </c>
      <c r="B232" s="95"/>
      <c r="C232" s="95"/>
      <c r="D232" s="95"/>
      <c r="E232" s="95"/>
      <c r="F232" s="95"/>
      <c r="G232" s="95"/>
      <c r="H232" s="143"/>
      <c r="I232" s="95"/>
      <c r="J232" s="95"/>
      <c r="K232" s="95"/>
      <c r="L232" s="95"/>
      <c r="M232" s="95"/>
      <c r="N232" s="95"/>
    </row>
    <row r="233" spans="1:14" ht="21" customHeight="1">
      <c r="A233" s="114" t="s">
        <v>332</v>
      </c>
      <c r="B233" s="95"/>
      <c r="C233" s="95"/>
      <c r="D233" s="95"/>
      <c r="E233" s="95"/>
      <c r="F233" s="95"/>
      <c r="G233" s="95"/>
      <c r="H233" s="143"/>
      <c r="I233" s="95"/>
      <c r="J233" s="95">
        <v>885.13</v>
      </c>
      <c r="K233" s="95">
        <v>885.13</v>
      </c>
      <c r="L233" s="95">
        <v>885.13</v>
      </c>
      <c r="M233" s="95">
        <v>885.14</v>
      </c>
      <c r="N233" s="106"/>
    </row>
    <row r="234" spans="1:14" ht="21" customHeight="1">
      <c r="A234" s="87" t="s">
        <v>333</v>
      </c>
      <c r="B234" s="95"/>
      <c r="C234" s="95"/>
      <c r="D234" s="95"/>
      <c r="E234" s="95"/>
      <c r="F234" s="95"/>
      <c r="G234" s="95"/>
      <c r="H234" s="143"/>
      <c r="I234" s="95"/>
      <c r="J234" s="95"/>
      <c r="K234" s="95"/>
      <c r="L234" s="95"/>
      <c r="M234" s="95"/>
      <c r="N234" s="106"/>
    </row>
    <row r="235" spans="1:14" ht="21" customHeight="1">
      <c r="A235" s="82" t="s">
        <v>334</v>
      </c>
      <c r="B235" s="95">
        <v>0</v>
      </c>
      <c r="C235" s="95">
        <v>107.29</v>
      </c>
      <c r="D235" s="95">
        <v>0</v>
      </c>
      <c r="E235" s="95">
        <v>0</v>
      </c>
      <c r="F235" s="95">
        <v>0</v>
      </c>
      <c r="G235" s="95">
        <v>0</v>
      </c>
      <c r="H235" s="143"/>
      <c r="I235" s="95"/>
      <c r="J235" s="95"/>
      <c r="K235" s="95"/>
      <c r="L235" s="95"/>
      <c r="M235" s="95"/>
      <c r="N235" s="106"/>
    </row>
    <row r="236" spans="1:14" ht="21" customHeight="1">
      <c r="A236" s="82" t="s">
        <v>335</v>
      </c>
      <c r="B236" s="95">
        <v>137.12</v>
      </c>
      <c r="C236" s="95">
        <v>0</v>
      </c>
      <c r="D236" s="95">
        <v>0</v>
      </c>
      <c r="E236" s="95">
        <v>0</v>
      </c>
      <c r="F236" s="95">
        <v>0</v>
      </c>
      <c r="G236" s="95">
        <v>0</v>
      </c>
      <c r="H236" s="143"/>
      <c r="I236" s="95"/>
      <c r="J236" s="95"/>
      <c r="K236" s="95"/>
      <c r="L236" s="95"/>
      <c r="M236" s="95"/>
      <c r="N236" s="106"/>
    </row>
    <row r="237" spans="1:14" ht="21" customHeight="1">
      <c r="A237" s="82" t="s">
        <v>336</v>
      </c>
      <c r="B237" s="95">
        <v>50</v>
      </c>
      <c r="C237" s="95">
        <v>0</v>
      </c>
      <c r="D237" s="95">
        <v>0</v>
      </c>
      <c r="E237" s="95">
        <v>0</v>
      </c>
      <c r="F237" s="95">
        <v>0</v>
      </c>
      <c r="G237" s="95">
        <v>0</v>
      </c>
      <c r="H237" s="143"/>
      <c r="I237" s="95"/>
      <c r="J237" s="95"/>
      <c r="K237" s="95"/>
      <c r="L237" s="95"/>
      <c r="M237" s="95"/>
      <c r="N237" s="106"/>
    </row>
    <row r="238" spans="1:14" ht="21" customHeight="1">
      <c r="A238" s="82" t="s">
        <v>337</v>
      </c>
      <c r="B238" s="95"/>
      <c r="C238" s="95"/>
      <c r="D238" s="95"/>
      <c r="E238" s="95"/>
      <c r="F238" s="95"/>
      <c r="G238" s="95"/>
      <c r="H238" s="143"/>
      <c r="I238" s="95"/>
      <c r="J238" s="95"/>
      <c r="K238" s="95"/>
      <c r="L238" s="95"/>
      <c r="M238" s="95"/>
      <c r="N238" s="106"/>
    </row>
    <row r="239" spans="1:14" ht="21" customHeight="1">
      <c r="A239" s="87" t="s">
        <v>338</v>
      </c>
      <c r="B239" s="95">
        <v>378</v>
      </c>
      <c r="C239" s="95">
        <v>378</v>
      </c>
      <c r="D239" s="95">
        <v>378</v>
      </c>
      <c r="E239" s="95">
        <v>378</v>
      </c>
      <c r="F239" s="95">
        <v>378</v>
      </c>
      <c r="G239" s="95">
        <v>378</v>
      </c>
      <c r="H239" s="143">
        <v>378</v>
      </c>
      <c r="I239" s="95">
        <v>378</v>
      </c>
      <c r="J239" s="95">
        <v>378</v>
      </c>
      <c r="K239" s="95">
        <v>406.7</v>
      </c>
      <c r="L239" s="95">
        <v>378</v>
      </c>
      <c r="M239" s="95">
        <v>756</v>
      </c>
      <c r="N239" s="106"/>
    </row>
    <row r="240" spans="1:14" ht="21" customHeight="1">
      <c r="A240" s="87" t="s">
        <v>339</v>
      </c>
      <c r="B240" s="95">
        <v>500</v>
      </c>
      <c r="C240" s="95">
        <v>400</v>
      </c>
      <c r="D240" s="95">
        <v>400</v>
      </c>
      <c r="E240" s="95">
        <v>500</v>
      </c>
      <c r="F240" s="95">
        <v>400</v>
      </c>
      <c r="G240" s="95">
        <v>400</v>
      </c>
      <c r="H240" s="143">
        <v>500</v>
      </c>
      <c r="I240" s="95">
        <v>400</v>
      </c>
      <c r="J240" s="95">
        <v>500</v>
      </c>
      <c r="K240" s="95">
        <v>400</v>
      </c>
      <c r="L240" s="95">
        <v>500</v>
      </c>
      <c r="M240" s="95">
        <v>400</v>
      </c>
      <c r="N240" s="106"/>
    </row>
    <row r="241" spans="1:14" ht="21" customHeight="1">
      <c r="A241" s="87" t="s">
        <v>340</v>
      </c>
      <c r="B241" s="95"/>
      <c r="C241" s="95"/>
      <c r="D241" s="95"/>
      <c r="E241" s="95"/>
      <c r="F241" s="95"/>
      <c r="G241" s="95"/>
      <c r="H241" s="143"/>
      <c r="I241" s="95"/>
      <c r="J241" s="95"/>
      <c r="K241" s="95"/>
      <c r="L241" s="95"/>
      <c r="M241" s="95"/>
      <c r="N241" s="106"/>
    </row>
    <row r="242" spans="1:14" ht="21" customHeight="1">
      <c r="A242" s="82" t="s">
        <v>341</v>
      </c>
      <c r="B242" s="95">
        <v>0</v>
      </c>
      <c r="C242" s="95">
        <v>0</v>
      </c>
      <c r="D242" s="95">
        <v>0</v>
      </c>
      <c r="E242" s="95">
        <v>0</v>
      </c>
      <c r="F242" s="95">
        <v>203.7</v>
      </c>
      <c r="G242" s="95">
        <v>0</v>
      </c>
      <c r="H242" s="143"/>
      <c r="I242" s="95"/>
      <c r="J242" s="95"/>
      <c r="K242" s="95"/>
      <c r="L242" s="95"/>
      <c r="M242" s="95"/>
      <c r="N242" s="106"/>
    </row>
    <row r="243" spans="1:14" ht="21" customHeight="1">
      <c r="A243" s="82" t="s">
        <v>342</v>
      </c>
      <c r="B243" s="95">
        <v>0</v>
      </c>
      <c r="C243" s="95">
        <v>0</v>
      </c>
      <c r="D243" s="95">
        <v>0</v>
      </c>
      <c r="E243" s="95">
        <v>7000</v>
      </c>
      <c r="F243" s="95">
        <v>0</v>
      </c>
      <c r="G243" s="95">
        <v>0</v>
      </c>
      <c r="H243" s="143"/>
      <c r="I243" s="95"/>
      <c r="J243" s="95"/>
      <c r="K243" s="95"/>
      <c r="L243" s="95"/>
      <c r="M243" s="95"/>
      <c r="N243" s="106"/>
    </row>
    <row r="244" spans="1:14" ht="21" customHeight="1">
      <c r="A244" s="82" t="s">
        <v>343</v>
      </c>
      <c r="B244" s="95">
        <v>0</v>
      </c>
      <c r="C244" s="95">
        <v>0</v>
      </c>
      <c r="D244" s="95">
        <v>0</v>
      </c>
      <c r="E244" s="95">
        <v>0</v>
      </c>
      <c r="F244" s="95">
        <v>70.38</v>
      </c>
      <c r="G244" s="95">
        <v>39.4</v>
      </c>
      <c r="H244" s="143"/>
      <c r="I244" s="95"/>
      <c r="J244" s="95"/>
      <c r="K244" s="95"/>
      <c r="L244" s="95"/>
      <c r="M244" s="95"/>
      <c r="N244" s="106"/>
    </row>
    <row r="245" spans="1:14" ht="21" customHeight="1">
      <c r="A245" s="82" t="s">
        <v>344</v>
      </c>
      <c r="B245" s="95">
        <v>0</v>
      </c>
      <c r="C245" s="95">
        <v>0</v>
      </c>
      <c r="D245" s="95">
        <v>0</v>
      </c>
      <c r="E245" s="95">
        <v>0</v>
      </c>
      <c r="F245" s="95">
        <v>0</v>
      </c>
      <c r="G245" s="95">
        <v>760.92</v>
      </c>
      <c r="H245" s="143"/>
      <c r="I245" s="95"/>
      <c r="J245" s="95"/>
      <c r="K245" s="95"/>
      <c r="L245" s="95"/>
      <c r="M245" s="95"/>
      <c r="N245" s="106"/>
    </row>
    <row r="246" spans="1:14" ht="21" customHeight="1">
      <c r="A246" s="82" t="s">
        <v>345</v>
      </c>
      <c r="B246" s="95">
        <v>0</v>
      </c>
      <c r="C246" s="95">
        <v>0</v>
      </c>
      <c r="D246" s="95">
        <v>0</v>
      </c>
      <c r="E246" s="95">
        <v>0</v>
      </c>
      <c r="F246" s="95">
        <v>0</v>
      </c>
      <c r="G246" s="95">
        <v>828</v>
      </c>
      <c r="H246" s="143"/>
      <c r="I246" s="95"/>
      <c r="J246" s="95"/>
      <c r="K246" s="95"/>
      <c r="L246" s="95"/>
      <c r="M246" s="95"/>
      <c r="N246" s="106"/>
    </row>
    <row r="247" spans="1:14" ht="21" customHeight="1">
      <c r="A247" s="82" t="s">
        <v>346</v>
      </c>
      <c r="B247" s="95">
        <v>0</v>
      </c>
      <c r="C247" s="95">
        <v>0</v>
      </c>
      <c r="D247" s="95">
        <v>0</v>
      </c>
      <c r="E247" s="95">
        <v>0</v>
      </c>
      <c r="F247" s="95">
        <v>0</v>
      </c>
      <c r="G247" s="95">
        <v>1000</v>
      </c>
      <c r="H247" s="143"/>
      <c r="I247" s="95"/>
      <c r="J247" s="95"/>
      <c r="K247" s="95"/>
      <c r="L247" s="95"/>
      <c r="M247" s="95"/>
      <c r="N247" s="106"/>
    </row>
    <row r="248" spans="1:14" ht="21" customHeight="1">
      <c r="A248" s="82" t="s">
        <v>347</v>
      </c>
      <c r="B248" s="95">
        <v>0</v>
      </c>
      <c r="C248" s="95">
        <v>0</v>
      </c>
      <c r="D248" s="95">
        <v>0</v>
      </c>
      <c r="E248" s="95">
        <v>68</v>
      </c>
      <c r="F248" s="95">
        <v>0</v>
      </c>
      <c r="G248" s="95">
        <v>0</v>
      </c>
      <c r="H248" s="143"/>
      <c r="I248" s="95"/>
      <c r="J248" s="95"/>
      <c r="K248" s="95"/>
      <c r="L248" s="95"/>
      <c r="M248" s="95"/>
      <c r="N248" s="106"/>
    </row>
    <row r="249" spans="1:14" ht="21" customHeight="1">
      <c r="A249" s="82" t="s">
        <v>348</v>
      </c>
      <c r="B249" s="95">
        <v>0</v>
      </c>
      <c r="C249" s="95">
        <v>0</v>
      </c>
      <c r="D249" s="95">
        <v>2960</v>
      </c>
      <c r="E249" s="95">
        <v>0</v>
      </c>
      <c r="F249" s="95">
        <v>0</v>
      </c>
      <c r="G249" s="95">
        <v>0</v>
      </c>
      <c r="H249" s="143"/>
      <c r="I249" s="95"/>
      <c r="J249" s="95"/>
      <c r="K249" s="95"/>
      <c r="L249" s="95"/>
      <c r="M249" s="95"/>
      <c r="N249" s="106"/>
    </row>
    <row r="250" spans="1:14" ht="21" customHeight="1">
      <c r="A250" s="82" t="s">
        <v>349</v>
      </c>
      <c r="B250" s="95">
        <v>0</v>
      </c>
      <c r="C250" s="95">
        <v>4907.0600000000004</v>
      </c>
      <c r="D250" s="95">
        <v>0</v>
      </c>
      <c r="E250" s="95">
        <v>0</v>
      </c>
      <c r="F250" s="95">
        <v>0</v>
      </c>
      <c r="G250" s="95">
        <v>0</v>
      </c>
      <c r="H250" s="143"/>
      <c r="I250" s="95"/>
      <c r="J250" s="95"/>
      <c r="K250" s="95"/>
      <c r="L250" s="95"/>
      <c r="M250" s="95"/>
      <c r="N250" s="106"/>
    </row>
    <row r="251" spans="1:14" ht="21" customHeight="1">
      <c r="A251" s="82" t="s">
        <v>350</v>
      </c>
      <c r="B251" s="95"/>
      <c r="C251" s="95"/>
      <c r="D251" s="95"/>
      <c r="E251" s="95"/>
      <c r="F251" s="95"/>
      <c r="G251" s="95"/>
      <c r="H251" s="143"/>
      <c r="I251" s="95"/>
      <c r="J251" s="95"/>
      <c r="K251" s="95">
        <v>2059</v>
      </c>
      <c r="L251" s="95"/>
      <c r="M251" s="95"/>
      <c r="N251" s="106"/>
    </row>
    <row r="252" spans="1:14" ht="21" customHeight="1">
      <c r="A252" s="82" t="s">
        <v>351</v>
      </c>
      <c r="B252" s="95">
        <v>13000</v>
      </c>
      <c r="C252" s="95">
        <v>0</v>
      </c>
      <c r="D252" s="95">
        <v>0</v>
      </c>
      <c r="E252" s="95">
        <v>0</v>
      </c>
      <c r="F252" s="95">
        <v>0</v>
      </c>
      <c r="G252" s="95">
        <v>0</v>
      </c>
      <c r="H252" s="143"/>
      <c r="I252" s="95"/>
      <c r="J252" s="95"/>
      <c r="K252" s="95"/>
      <c r="L252" s="95"/>
      <c r="M252" s="95"/>
      <c r="N252" s="106"/>
    </row>
    <row r="253" spans="1:14" ht="21" customHeight="1">
      <c r="A253" s="82" t="s">
        <v>352</v>
      </c>
      <c r="B253" s="95">
        <v>0</v>
      </c>
      <c r="C253" s="95">
        <v>109.58</v>
      </c>
      <c r="D253" s="95">
        <v>0</v>
      </c>
      <c r="E253" s="95">
        <v>0</v>
      </c>
      <c r="F253" s="95">
        <v>0</v>
      </c>
      <c r="G253" s="95">
        <v>0</v>
      </c>
      <c r="H253" s="143"/>
      <c r="I253" s="95"/>
      <c r="J253" s="95"/>
      <c r="K253" s="95"/>
      <c r="L253" s="95"/>
      <c r="M253" s="95"/>
      <c r="N253" s="106"/>
    </row>
    <row r="254" spans="1:14" ht="21" customHeight="1">
      <c r="A254" s="82" t="s">
        <v>353</v>
      </c>
      <c r="B254" s="95">
        <v>0</v>
      </c>
      <c r="C254" s="95">
        <v>220</v>
      </c>
      <c r="D254" s="95">
        <v>0</v>
      </c>
      <c r="E254" s="95">
        <v>0</v>
      </c>
      <c r="F254" s="95">
        <v>0</v>
      </c>
      <c r="G254" s="95">
        <v>0</v>
      </c>
      <c r="H254" s="143"/>
      <c r="I254" s="95"/>
      <c r="J254" s="95"/>
      <c r="K254" s="95"/>
      <c r="L254" s="95"/>
      <c r="M254" s="95"/>
      <c r="N254" s="106"/>
    </row>
    <row r="255" spans="1:14" ht="21" customHeight="1">
      <c r="A255" s="82" t="s">
        <v>354</v>
      </c>
      <c r="B255" s="95">
        <v>0</v>
      </c>
      <c r="C255" s="95">
        <v>236.15</v>
      </c>
      <c r="D255" s="95">
        <v>0</v>
      </c>
      <c r="E255" s="95">
        <v>0</v>
      </c>
      <c r="F255" s="95">
        <v>0</v>
      </c>
      <c r="G255" s="95">
        <v>0</v>
      </c>
      <c r="H255" s="143"/>
      <c r="I255" s="95"/>
      <c r="J255" s="95"/>
      <c r="K255" s="95"/>
      <c r="L255" s="95"/>
      <c r="M255" s="95"/>
      <c r="N255" s="106"/>
    </row>
    <row r="256" spans="1:14" ht="21" customHeight="1">
      <c r="A256" s="82" t="s">
        <v>355</v>
      </c>
      <c r="B256" s="95">
        <v>24</v>
      </c>
      <c r="C256" s="95">
        <v>0</v>
      </c>
      <c r="D256" s="95">
        <v>0</v>
      </c>
      <c r="E256" s="95">
        <v>0</v>
      </c>
      <c r="F256" s="95">
        <v>0</v>
      </c>
      <c r="G256" s="95">
        <v>0</v>
      </c>
      <c r="H256" s="143"/>
      <c r="I256" s="95"/>
      <c r="J256" s="95"/>
      <c r="K256" s="95"/>
      <c r="L256" s="95"/>
      <c r="M256" s="95"/>
      <c r="N256" s="106"/>
    </row>
    <row r="257" spans="1:14" ht="21" customHeight="1">
      <c r="A257" s="82" t="s">
        <v>356</v>
      </c>
      <c r="B257" s="95">
        <v>331.6</v>
      </c>
      <c r="C257" s="95">
        <v>0</v>
      </c>
      <c r="D257" s="95">
        <v>185.8</v>
      </c>
      <c r="E257" s="95">
        <v>0</v>
      </c>
      <c r="F257" s="95">
        <v>0</v>
      </c>
      <c r="G257" s="95">
        <v>0</v>
      </c>
      <c r="H257" s="143"/>
      <c r="I257" s="95"/>
      <c r="J257" s="95"/>
      <c r="K257" s="95"/>
      <c r="L257" s="95"/>
      <c r="M257" s="95"/>
      <c r="N257" s="106"/>
    </row>
    <row r="258" spans="1:14" ht="21" customHeight="1">
      <c r="A258" s="82" t="s">
        <v>357</v>
      </c>
      <c r="B258" s="95"/>
      <c r="C258" s="95"/>
      <c r="D258" s="95"/>
      <c r="E258" s="95"/>
      <c r="F258" s="95"/>
      <c r="G258" s="95"/>
      <c r="H258" s="143"/>
      <c r="I258" s="95"/>
      <c r="J258" s="95"/>
      <c r="K258" s="95"/>
      <c r="L258" s="95"/>
      <c r="M258" s="95"/>
      <c r="N258" s="106"/>
    </row>
    <row r="259" spans="1:14" ht="21" customHeight="1">
      <c r="A259" s="87" t="s">
        <v>358</v>
      </c>
      <c r="B259" s="81">
        <f t="shared" ref="B259:M259" si="2">SUM(B138:B258)</f>
        <v>20924.71</v>
      </c>
      <c r="C259" s="81">
        <f t="shared" si="2"/>
        <v>26802.12000000001</v>
      </c>
      <c r="D259" s="81">
        <f t="shared" si="2"/>
        <v>23441.560000000005</v>
      </c>
      <c r="E259" s="81">
        <f t="shared" si="2"/>
        <v>24750.45</v>
      </c>
      <c r="F259" s="81">
        <f t="shared" si="2"/>
        <v>16261.219999999998</v>
      </c>
      <c r="G259" s="81">
        <f t="shared" si="2"/>
        <v>14335.83</v>
      </c>
      <c r="H259" s="145">
        <f t="shared" si="2"/>
        <v>12937.039999999997</v>
      </c>
      <c r="I259" s="81">
        <f t="shared" si="2"/>
        <v>11813.819999999998</v>
      </c>
      <c r="J259" s="81">
        <f t="shared" si="2"/>
        <v>11381.109999999999</v>
      </c>
      <c r="K259" s="81">
        <f t="shared" si="2"/>
        <v>10055.939999999999</v>
      </c>
      <c r="L259" s="81">
        <f t="shared" si="2"/>
        <v>9636.1999999999989</v>
      </c>
      <c r="M259" s="81">
        <f t="shared" si="2"/>
        <v>12493.48</v>
      </c>
      <c r="N259" s="81">
        <f>SUM(B259:M259)</f>
        <v>194833.48000000004</v>
      </c>
    </row>
    <row r="260" spans="1:14" ht="21" customHeight="1">
      <c r="A260" s="87"/>
      <c r="B260" s="81"/>
      <c r="C260" s="81"/>
      <c r="D260" s="81"/>
      <c r="E260" s="81"/>
      <c r="F260" s="81"/>
      <c r="G260" s="81"/>
      <c r="H260" s="145"/>
      <c r="I260" s="81"/>
      <c r="J260" s="81"/>
      <c r="K260" s="81"/>
      <c r="L260" s="81"/>
      <c r="M260" s="81"/>
      <c r="N260" s="81"/>
    </row>
    <row r="261" spans="1:14" s="109" customFormat="1" ht="30">
      <c r="A261" s="108" t="s">
        <v>359</v>
      </c>
      <c r="B261" s="80"/>
      <c r="C261" s="80"/>
      <c r="D261" s="80"/>
      <c r="E261" s="80"/>
      <c r="F261" s="80"/>
      <c r="G261" s="80"/>
      <c r="H261" s="147"/>
      <c r="I261" s="80"/>
      <c r="J261" s="80"/>
      <c r="K261" s="80"/>
      <c r="L261" s="80"/>
      <c r="M261" s="80"/>
      <c r="N261" s="78"/>
    </row>
    <row r="262" spans="1:14" ht="20">
      <c r="A262" s="82" t="s">
        <v>360</v>
      </c>
      <c r="B262" s="95">
        <v>0</v>
      </c>
      <c r="C262" s="95">
        <v>1800</v>
      </c>
      <c r="D262" s="95">
        <v>1800</v>
      </c>
      <c r="E262" s="95">
        <v>1800</v>
      </c>
      <c r="F262" s="95">
        <v>1800</v>
      </c>
      <c r="G262" s="95">
        <v>1800</v>
      </c>
      <c r="H262" s="143">
        <v>1800</v>
      </c>
      <c r="I262" s="95">
        <v>1800</v>
      </c>
      <c r="J262" s="95">
        <v>1800</v>
      </c>
      <c r="K262" s="95">
        <v>532.69000000000005</v>
      </c>
      <c r="L262" s="95">
        <v>532.69000000000005</v>
      </c>
      <c r="M262" s="95">
        <v>532.69000000000005</v>
      </c>
      <c r="N262" s="81"/>
    </row>
    <row r="263" spans="1:14" ht="20">
      <c r="A263" s="82" t="s">
        <v>361</v>
      </c>
      <c r="B263" s="95">
        <v>0</v>
      </c>
      <c r="C263" s="95">
        <v>271.18</v>
      </c>
      <c r="D263" s="95">
        <v>146.97999999999999</v>
      </c>
      <c r="E263" s="95">
        <v>138.56</v>
      </c>
      <c r="F263" s="95">
        <v>237.09</v>
      </c>
      <c r="G263" s="95">
        <v>286.36</v>
      </c>
      <c r="H263" s="143">
        <v>138.56</v>
      </c>
      <c r="I263" s="95">
        <v>138.56</v>
      </c>
      <c r="J263" s="95">
        <v>138.56</v>
      </c>
      <c r="K263" s="95">
        <v>138.66</v>
      </c>
      <c r="L263" s="95">
        <v>138.66</v>
      </c>
      <c r="M263" s="95">
        <v>138.56</v>
      </c>
      <c r="N263" s="81"/>
    </row>
    <row r="264" spans="1:14" ht="20">
      <c r="A264" s="82" t="s">
        <v>362</v>
      </c>
      <c r="B264" s="95">
        <v>0</v>
      </c>
      <c r="C264" s="95">
        <v>83.63</v>
      </c>
      <c r="D264" s="95">
        <v>119.19</v>
      </c>
      <c r="E264" s="95">
        <v>130.83000000000001</v>
      </c>
      <c r="F264" s="95">
        <v>205.88</v>
      </c>
      <c r="G264" s="95">
        <v>165.14</v>
      </c>
      <c r="H264" s="143">
        <v>163.32</v>
      </c>
      <c r="I264" s="95">
        <v>171.7</v>
      </c>
      <c r="J264" s="95">
        <v>169.2</v>
      </c>
      <c r="K264" s="95">
        <v>215.82</v>
      </c>
      <c r="L264" s="95">
        <v>240.3</v>
      </c>
      <c r="M264" s="95">
        <v>215.99</v>
      </c>
      <c r="N264" s="81"/>
    </row>
    <row r="265" spans="1:14" ht="20">
      <c r="A265" s="82" t="s">
        <v>363</v>
      </c>
      <c r="B265" s="95">
        <v>0</v>
      </c>
      <c r="C265" s="95">
        <v>0</v>
      </c>
      <c r="D265" s="95">
        <v>0</v>
      </c>
      <c r="E265" s="95">
        <v>80</v>
      </c>
      <c r="F265" s="95">
        <v>80</v>
      </c>
      <c r="G265" s="95">
        <v>80</v>
      </c>
      <c r="H265" s="143">
        <v>80</v>
      </c>
      <c r="I265" s="95">
        <v>1150</v>
      </c>
      <c r="J265" s="95">
        <v>80</v>
      </c>
      <c r="K265" s="95">
        <v>80</v>
      </c>
      <c r="L265" s="95">
        <v>80</v>
      </c>
      <c r="M265" s="95">
        <v>80</v>
      </c>
      <c r="N265" s="81"/>
    </row>
    <row r="266" spans="1:14" ht="20">
      <c r="A266" s="82" t="s">
        <v>364</v>
      </c>
      <c r="B266" s="95">
        <v>0</v>
      </c>
      <c r="C266" s="95">
        <v>0</v>
      </c>
      <c r="D266" s="95">
        <v>0</v>
      </c>
      <c r="E266" s="95">
        <v>300</v>
      </c>
      <c r="F266" s="95">
        <v>300</v>
      </c>
      <c r="G266" s="95">
        <v>300</v>
      </c>
      <c r="H266" s="143">
        <v>300</v>
      </c>
      <c r="I266" s="95">
        <v>300</v>
      </c>
      <c r="J266" s="95">
        <v>300</v>
      </c>
      <c r="K266" s="95">
        <v>300</v>
      </c>
      <c r="L266" s="95">
        <v>300</v>
      </c>
      <c r="M266" s="95">
        <v>300</v>
      </c>
      <c r="N266" s="81"/>
    </row>
    <row r="267" spans="1:14" ht="20">
      <c r="A267" s="82" t="s">
        <v>365</v>
      </c>
      <c r="B267" s="95">
        <v>0</v>
      </c>
      <c r="C267" s="95">
        <v>0</v>
      </c>
      <c r="D267" s="95">
        <v>0</v>
      </c>
      <c r="E267" s="95">
        <v>168.49</v>
      </c>
      <c r="F267" s="95">
        <v>168.5</v>
      </c>
      <c r="G267" s="95">
        <v>168.5</v>
      </c>
      <c r="H267" s="143">
        <v>168.5</v>
      </c>
      <c r="I267" s="95"/>
      <c r="J267" s="95"/>
      <c r="K267" s="95"/>
      <c r="L267" s="95"/>
      <c r="M267" s="95"/>
      <c r="N267" s="81"/>
    </row>
    <row r="268" spans="1:14" ht="20">
      <c r="A268" s="82" t="s">
        <v>366</v>
      </c>
      <c r="B268" s="95">
        <v>0</v>
      </c>
      <c r="C268" s="95">
        <v>0</v>
      </c>
      <c r="D268" s="95">
        <v>747.22</v>
      </c>
      <c r="E268" s="95">
        <v>0</v>
      </c>
      <c r="F268" s="95">
        <v>0</v>
      </c>
      <c r="G268" s="95">
        <v>0</v>
      </c>
      <c r="H268" s="143"/>
      <c r="I268" s="95"/>
      <c r="J268" s="95"/>
      <c r="K268" s="95"/>
      <c r="L268" s="95"/>
      <c r="M268" s="95"/>
      <c r="N268" s="81"/>
    </row>
    <row r="269" spans="1:14" ht="20">
      <c r="A269" s="82" t="s">
        <v>367</v>
      </c>
      <c r="B269" s="95">
        <v>0</v>
      </c>
      <c r="C269" s="95">
        <v>0</v>
      </c>
      <c r="D269" s="95">
        <v>78</v>
      </c>
      <c r="E269" s="95">
        <v>0</v>
      </c>
      <c r="F269" s="95">
        <v>0</v>
      </c>
      <c r="G269" s="95">
        <v>0</v>
      </c>
      <c r="H269" s="143"/>
      <c r="I269" s="95"/>
      <c r="J269" s="95"/>
      <c r="K269" s="95"/>
      <c r="L269" s="95"/>
      <c r="M269" s="95"/>
      <c r="N269" s="81"/>
    </row>
    <row r="270" spans="1:14" ht="20">
      <c r="A270" s="82" t="s">
        <v>368</v>
      </c>
      <c r="B270" s="95"/>
      <c r="C270" s="95"/>
      <c r="D270" s="95"/>
      <c r="E270" s="95"/>
      <c r="F270" s="95"/>
      <c r="G270" s="95"/>
      <c r="H270" s="143"/>
      <c r="I270" s="95"/>
      <c r="J270" s="95"/>
      <c r="K270" s="95"/>
      <c r="L270" s="95"/>
      <c r="M270" s="95"/>
      <c r="N270" s="81"/>
    </row>
    <row r="271" spans="1:14" ht="20">
      <c r="A271" s="82" t="s">
        <v>369</v>
      </c>
      <c r="B271" s="95">
        <v>0</v>
      </c>
      <c r="C271" s="95">
        <v>0</v>
      </c>
      <c r="D271" s="95">
        <v>0</v>
      </c>
      <c r="E271" s="95">
        <v>0</v>
      </c>
      <c r="F271" s="95">
        <v>110</v>
      </c>
      <c r="G271" s="95">
        <v>0</v>
      </c>
      <c r="H271" s="143"/>
      <c r="I271" s="95"/>
      <c r="J271" s="95"/>
      <c r="K271" s="95"/>
      <c r="L271" s="95"/>
      <c r="M271" s="95"/>
      <c r="N271" s="81"/>
    </row>
    <row r="272" spans="1:14" ht="20">
      <c r="A272" s="82" t="s">
        <v>370</v>
      </c>
      <c r="B272" s="95">
        <v>920</v>
      </c>
      <c r="C272" s="95">
        <v>0</v>
      </c>
      <c r="D272" s="95">
        <v>0</v>
      </c>
      <c r="E272" s="95">
        <v>0</v>
      </c>
      <c r="F272" s="95">
        <v>0</v>
      </c>
      <c r="G272" s="95">
        <v>0</v>
      </c>
      <c r="H272" s="143"/>
      <c r="I272" s="95"/>
      <c r="J272" s="95"/>
      <c r="K272" s="95"/>
      <c r="L272" s="95"/>
      <c r="M272" s="95"/>
      <c r="N272" s="81"/>
    </row>
    <row r="273" spans="1:14" ht="20">
      <c r="A273" s="82" t="s">
        <v>371</v>
      </c>
      <c r="B273" s="95">
        <v>2300</v>
      </c>
      <c r="C273" s="95">
        <v>0</v>
      </c>
      <c r="D273" s="95">
        <v>0</v>
      </c>
      <c r="E273" s="95">
        <v>0</v>
      </c>
      <c r="F273" s="95">
        <v>0</v>
      </c>
      <c r="G273" s="95">
        <v>0</v>
      </c>
      <c r="H273" s="143"/>
      <c r="I273" s="95"/>
      <c r="J273" s="95"/>
      <c r="K273" s="95"/>
      <c r="L273" s="95"/>
      <c r="M273" s="95"/>
      <c r="N273" s="81"/>
    </row>
    <row r="274" spans="1:14" ht="20">
      <c r="A274" s="82" t="s">
        <v>372</v>
      </c>
      <c r="B274" s="95">
        <v>2063.7199999999998</v>
      </c>
      <c r="C274" s="95">
        <v>0</v>
      </c>
      <c r="D274" s="95">
        <v>0</v>
      </c>
      <c r="E274" s="95">
        <v>0</v>
      </c>
      <c r="F274" s="95">
        <v>0</v>
      </c>
      <c r="G274" s="95">
        <v>0</v>
      </c>
      <c r="H274" s="143"/>
      <c r="I274" s="95"/>
      <c r="J274" s="95"/>
      <c r="K274" s="95"/>
      <c r="L274" s="95"/>
      <c r="M274" s="95"/>
      <c r="N274" s="81"/>
    </row>
    <row r="275" spans="1:14" ht="20">
      <c r="A275" s="82" t="s">
        <v>373</v>
      </c>
      <c r="B275" s="95">
        <v>140</v>
      </c>
      <c r="C275" s="95">
        <v>0</v>
      </c>
      <c r="D275" s="95">
        <v>0</v>
      </c>
      <c r="E275" s="95">
        <v>0</v>
      </c>
      <c r="F275" s="95">
        <v>0</v>
      </c>
      <c r="G275" s="95">
        <v>0</v>
      </c>
      <c r="H275" s="143"/>
      <c r="I275" s="95"/>
      <c r="J275" s="95"/>
      <c r="K275" s="95"/>
      <c r="L275" s="95"/>
      <c r="M275" s="95"/>
      <c r="N275" s="81"/>
    </row>
    <row r="276" spans="1:14" ht="20">
      <c r="A276" s="82" t="s">
        <v>374</v>
      </c>
      <c r="B276" s="95">
        <v>1770</v>
      </c>
      <c r="C276" s="95">
        <v>0</v>
      </c>
      <c r="D276" s="95">
        <v>0</v>
      </c>
      <c r="E276" s="95">
        <v>0</v>
      </c>
      <c r="F276" s="95">
        <v>0</v>
      </c>
      <c r="G276" s="95">
        <v>0</v>
      </c>
      <c r="H276" s="143"/>
      <c r="I276" s="95"/>
      <c r="J276" s="95"/>
      <c r="K276" s="95"/>
      <c r="L276" s="95"/>
      <c r="M276" s="95"/>
      <c r="N276" s="81"/>
    </row>
    <row r="277" spans="1:14" ht="20">
      <c r="A277" s="82" t="s">
        <v>375</v>
      </c>
      <c r="B277" s="95">
        <v>8700</v>
      </c>
      <c r="C277" s="95">
        <v>0</v>
      </c>
      <c r="D277" s="95">
        <v>0</v>
      </c>
      <c r="E277" s="95">
        <v>0</v>
      </c>
      <c r="F277" s="95">
        <v>0</v>
      </c>
      <c r="G277" s="95">
        <v>0</v>
      </c>
      <c r="H277" s="143"/>
      <c r="I277" s="95"/>
      <c r="J277" s="95"/>
      <c r="K277" s="95"/>
      <c r="L277" s="95"/>
      <c r="M277" s="95"/>
      <c r="N277" s="81"/>
    </row>
    <row r="278" spans="1:14" ht="20">
      <c r="A278" s="82" t="s">
        <v>371</v>
      </c>
      <c r="B278" s="95">
        <v>500</v>
      </c>
      <c r="C278" s="95">
        <v>0</v>
      </c>
      <c r="D278" s="95">
        <v>0</v>
      </c>
      <c r="E278" s="95">
        <v>0</v>
      </c>
      <c r="F278" s="95">
        <v>0</v>
      </c>
      <c r="G278" s="95">
        <v>0</v>
      </c>
      <c r="H278" s="143"/>
      <c r="I278" s="95"/>
      <c r="J278" s="95"/>
      <c r="K278" s="95"/>
      <c r="L278" s="95"/>
      <c r="M278" s="95"/>
      <c r="N278" s="81"/>
    </row>
    <row r="279" spans="1:14" ht="20" customHeight="1">
      <c r="A279" s="82" t="s">
        <v>376</v>
      </c>
      <c r="B279" s="95">
        <v>140</v>
      </c>
      <c r="C279" s="95">
        <v>0</v>
      </c>
      <c r="D279" s="95">
        <v>0</v>
      </c>
      <c r="E279" s="95">
        <v>0</v>
      </c>
      <c r="F279" s="95">
        <v>0</v>
      </c>
      <c r="G279" s="95">
        <v>0</v>
      </c>
      <c r="H279" s="143"/>
      <c r="I279" s="95"/>
      <c r="J279" s="95"/>
      <c r="K279" s="95"/>
      <c r="L279" s="95"/>
      <c r="M279" s="95"/>
      <c r="N279" s="81"/>
    </row>
    <row r="280" spans="1:14" ht="20" customHeight="1">
      <c r="A280" s="82" t="s">
        <v>377</v>
      </c>
      <c r="B280" s="95">
        <v>0</v>
      </c>
      <c r="C280" s="95">
        <v>380</v>
      </c>
      <c r="D280" s="95">
        <v>0</v>
      </c>
      <c r="E280" s="95">
        <v>0</v>
      </c>
      <c r="F280" s="95">
        <v>0</v>
      </c>
      <c r="G280" s="95">
        <v>0</v>
      </c>
      <c r="H280" s="143"/>
      <c r="I280" s="95"/>
      <c r="J280" s="95"/>
      <c r="K280" s="95"/>
      <c r="L280" s="95"/>
      <c r="M280" s="95"/>
      <c r="N280" s="81"/>
    </row>
    <row r="281" spans="1:14" ht="20" customHeight="1">
      <c r="A281" s="82" t="s">
        <v>378</v>
      </c>
      <c r="B281" s="95">
        <v>0</v>
      </c>
      <c r="C281" s="95">
        <v>185</v>
      </c>
      <c r="D281" s="95">
        <v>0</v>
      </c>
      <c r="E281" s="95">
        <v>0</v>
      </c>
      <c r="F281" s="95">
        <v>0</v>
      </c>
      <c r="G281" s="95">
        <v>0</v>
      </c>
      <c r="H281" s="143"/>
      <c r="I281" s="95"/>
      <c r="J281" s="95"/>
      <c r="K281" s="95"/>
      <c r="L281" s="95"/>
      <c r="M281" s="95"/>
      <c r="N281" s="81"/>
    </row>
    <row r="282" spans="1:14" ht="20" customHeight="1">
      <c r="A282" s="82" t="s">
        <v>379</v>
      </c>
      <c r="B282" s="95">
        <v>0</v>
      </c>
      <c r="C282" s="95">
        <v>182.16</v>
      </c>
      <c r="D282" s="95">
        <v>0</v>
      </c>
      <c r="E282" s="95">
        <v>0</v>
      </c>
      <c r="F282" s="95">
        <v>0</v>
      </c>
      <c r="G282" s="95">
        <v>0</v>
      </c>
      <c r="H282" s="143"/>
      <c r="I282" s="95"/>
      <c r="J282" s="95"/>
      <c r="K282" s="95"/>
      <c r="L282" s="95"/>
      <c r="M282" s="95"/>
      <c r="N282" s="81"/>
    </row>
    <row r="283" spans="1:14" ht="20" customHeight="1">
      <c r="A283" s="82" t="s">
        <v>380</v>
      </c>
      <c r="B283" s="95">
        <v>0</v>
      </c>
      <c r="C283" s="95">
        <v>1500</v>
      </c>
      <c r="D283" s="95">
        <v>0</v>
      </c>
      <c r="E283" s="95">
        <v>0</v>
      </c>
      <c r="F283" s="95">
        <v>0</v>
      </c>
      <c r="G283" s="95">
        <v>0</v>
      </c>
      <c r="H283" s="143"/>
      <c r="I283" s="95"/>
      <c r="J283" s="95"/>
      <c r="K283" s="95"/>
      <c r="L283" s="95"/>
      <c r="M283" s="95"/>
      <c r="N283" s="81"/>
    </row>
    <row r="284" spans="1:14" ht="20" customHeight="1">
      <c r="A284" s="82" t="s">
        <v>381</v>
      </c>
      <c r="B284" s="95">
        <v>0</v>
      </c>
      <c r="C284" s="95">
        <v>550</v>
      </c>
      <c r="D284" s="95">
        <v>0</v>
      </c>
      <c r="E284" s="95">
        <v>0</v>
      </c>
      <c r="F284" s="95">
        <v>0</v>
      </c>
      <c r="G284" s="95">
        <v>0</v>
      </c>
      <c r="H284" s="143"/>
      <c r="I284" s="95"/>
      <c r="J284" s="95"/>
      <c r="K284" s="95"/>
      <c r="L284" s="95"/>
      <c r="M284" s="95"/>
      <c r="N284" s="81"/>
    </row>
    <row r="285" spans="1:14" ht="20" customHeight="1">
      <c r="A285" s="82" t="s">
        <v>382</v>
      </c>
      <c r="B285" s="95">
        <v>0</v>
      </c>
      <c r="C285" s="95">
        <v>266.51</v>
      </c>
      <c r="D285" s="95">
        <v>0</v>
      </c>
      <c r="E285" s="95">
        <v>0</v>
      </c>
      <c r="F285" s="95">
        <v>0</v>
      </c>
      <c r="G285" s="95">
        <v>0</v>
      </c>
      <c r="H285" s="143"/>
      <c r="I285" s="95"/>
      <c r="J285" s="95"/>
      <c r="K285" s="95"/>
      <c r="L285" s="95"/>
      <c r="M285" s="95"/>
      <c r="N285" s="81"/>
    </row>
    <row r="286" spans="1:14" ht="20" customHeight="1">
      <c r="A286" s="82" t="s">
        <v>383</v>
      </c>
      <c r="B286" s="95">
        <v>0</v>
      </c>
      <c r="C286" s="95">
        <v>179</v>
      </c>
      <c r="D286" s="95">
        <v>0</v>
      </c>
      <c r="E286" s="95">
        <v>0</v>
      </c>
      <c r="F286" s="95">
        <v>0</v>
      </c>
      <c r="G286" s="95">
        <v>0</v>
      </c>
      <c r="H286" s="143"/>
      <c r="I286" s="95"/>
      <c r="J286" s="95"/>
      <c r="K286" s="95"/>
      <c r="L286" s="95"/>
      <c r="M286" s="95"/>
      <c r="N286" s="81"/>
    </row>
    <row r="287" spans="1:14" ht="20" customHeight="1">
      <c r="A287" s="82" t="s">
        <v>384</v>
      </c>
      <c r="B287" s="95">
        <v>0</v>
      </c>
      <c r="C287" s="95">
        <v>361</v>
      </c>
      <c r="D287" s="95">
        <v>0</v>
      </c>
      <c r="E287" s="95">
        <v>0</v>
      </c>
      <c r="F287" s="95">
        <v>0</v>
      </c>
      <c r="G287" s="95">
        <v>0</v>
      </c>
      <c r="H287" s="143"/>
      <c r="I287" s="95"/>
      <c r="J287" s="95"/>
      <c r="K287" s="95"/>
      <c r="L287" s="95"/>
      <c r="M287" s="95"/>
      <c r="N287" s="81"/>
    </row>
    <row r="288" spans="1:14" ht="20" customHeight="1">
      <c r="A288" s="110" t="s">
        <v>385</v>
      </c>
      <c r="B288" s="95"/>
      <c r="C288" s="95"/>
      <c r="D288" s="95"/>
      <c r="E288" s="95"/>
      <c r="F288" s="95"/>
      <c r="G288" s="95"/>
      <c r="H288" s="143"/>
      <c r="I288" s="95"/>
      <c r="J288" s="95">
        <v>2157.6799999999998</v>
      </c>
      <c r="K288" s="95"/>
      <c r="L288" s="95"/>
      <c r="M288" s="95"/>
      <c r="N288" s="81"/>
    </row>
    <row r="289" spans="1:14" ht="20" customHeight="1">
      <c r="A289" s="110" t="s">
        <v>386</v>
      </c>
      <c r="B289" s="95"/>
      <c r="C289" s="95"/>
      <c r="D289" s="95"/>
      <c r="E289" s="95"/>
      <c r="F289" s="95"/>
      <c r="G289" s="95"/>
      <c r="H289" s="143"/>
      <c r="I289" s="95"/>
      <c r="J289" s="95">
        <v>6000</v>
      </c>
      <c r="K289" s="95"/>
      <c r="L289" s="95"/>
      <c r="M289" s="95"/>
      <c r="N289" s="81"/>
    </row>
    <row r="290" spans="1:14" ht="20" customHeight="1">
      <c r="A290" s="110" t="s">
        <v>387</v>
      </c>
      <c r="B290" s="95">
        <v>0</v>
      </c>
      <c r="C290" s="95">
        <v>250</v>
      </c>
      <c r="D290" s="95">
        <v>0</v>
      </c>
      <c r="E290" s="95">
        <v>0</v>
      </c>
      <c r="F290" s="95">
        <v>0</v>
      </c>
      <c r="G290" s="95">
        <v>0</v>
      </c>
      <c r="H290" s="143"/>
      <c r="I290" s="95"/>
      <c r="J290" s="95">
        <v>450</v>
      </c>
      <c r="K290" s="95"/>
      <c r="L290" s="95">
        <v>700</v>
      </c>
      <c r="M290" s="95"/>
      <c r="N290" s="81"/>
    </row>
    <row r="291" spans="1:14" ht="20" customHeight="1">
      <c r="A291" s="110" t="s">
        <v>388</v>
      </c>
      <c r="B291" s="95"/>
      <c r="C291" s="95"/>
      <c r="D291" s="95"/>
      <c r="E291" s="95"/>
      <c r="F291" s="95"/>
      <c r="G291" s="95"/>
      <c r="H291" s="143"/>
      <c r="I291" s="95"/>
      <c r="J291" s="95"/>
      <c r="K291" s="95"/>
      <c r="L291" s="95">
        <v>3240</v>
      </c>
      <c r="M291" s="95"/>
      <c r="N291" s="81"/>
    </row>
    <row r="292" spans="1:14" ht="20" customHeight="1">
      <c r="A292" s="110" t="s">
        <v>389</v>
      </c>
      <c r="B292" s="95"/>
      <c r="C292" s="95"/>
      <c r="D292" s="95"/>
      <c r="E292" s="95"/>
      <c r="F292" s="95"/>
      <c r="G292" s="95"/>
      <c r="H292" s="143"/>
      <c r="I292" s="95"/>
      <c r="J292" s="95"/>
      <c r="K292" s="95"/>
      <c r="L292" s="95">
        <v>1250</v>
      </c>
      <c r="M292" s="95"/>
      <c r="N292" s="81"/>
    </row>
    <row r="293" spans="1:14" ht="20" customHeight="1">
      <c r="A293" s="111"/>
      <c r="B293" s="95"/>
      <c r="C293" s="95"/>
      <c r="D293" s="95"/>
      <c r="E293" s="95"/>
      <c r="F293" s="95"/>
      <c r="G293" s="95"/>
      <c r="H293" s="143"/>
      <c r="I293" s="95"/>
      <c r="J293" s="95"/>
      <c r="K293" s="95"/>
      <c r="L293" s="95"/>
      <c r="M293" s="95"/>
      <c r="N293" s="81"/>
    </row>
    <row r="294" spans="1:14" ht="20" customHeight="1">
      <c r="A294" s="138" t="s">
        <v>390</v>
      </c>
      <c r="B294" s="95">
        <f>SUM(B262:B293)</f>
        <v>16533.72</v>
      </c>
      <c r="C294" s="95">
        <f t="shared" ref="C294:M294" si="3">SUM(C262:C293)</f>
        <v>6008.48</v>
      </c>
      <c r="D294" s="95">
        <f t="shared" si="3"/>
        <v>2891.3900000000003</v>
      </c>
      <c r="E294" s="95">
        <f t="shared" si="3"/>
        <v>2617.88</v>
      </c>
      <c r="F294" s="95">
        <f>SUM(F262:F293)</f>
        <v>2901.47</v>
      </c>
      <c r="G294" s="95">
        <f t="shared" si="3"/>
        <v>2800</v>
      </c>
      <c r="H294" s="143">
        <f t="shared" si="3"/>
        <v>2650.38</v>
      </c>
      <c r="I294" s="95">
        <f t="shared" si="3"/>
        <v>3560.2599999999998</v>
      </c>
      <c r="J294" s="95">
        <f t="shared" si="3"/>
        <v>11095.439999999999</v>
      </c>
      <c r="K294" s="95">
        <f t="shared" si="3"/>
        <v>1267.17</v>
      </c>
      <c r="L294" s="95">
        <f t="shared" si="3"/>
        <v>6481.65</v>
      </c>
      <c r="M294" s="95">
        <f t="shared" si="3"/>
        <v>1267.24</v>
      </c>
      <c r="N294" s="120">
        <f>SUM(B294:M294)</f>
        <v>60075.08</v>
      </c>
    </row>
    <row r="295" spans="1:14" ht="20" customHeight="1">
      <c r="A295" s="138"/>
      <c r="B295" s="95"/>
      <c r="C295" s="95"/>
      <c r="D295" s="95"/>
      <c r="E295" s="95"/>
      <c r="F295" s="95"/>
      <c r="G295" s="95"/>
      <c r="H295" s="143"/>
      <c r="I295" s="95"/>
      <c r="J295" s="95"/>
      <c r="K295" s="95"/>
      <c r="L295" s="95"/>
      <c r="M295" s="95"/>
      <c r="N295" s="81"/>
    </row>
    <row r="296" spans="1:14" ht="21" customHeight="1">
      <c r="A296" s="90"/>
      <c r="B296" s="95"/>
      <c r="C296" s="95"/>
      <c r="D296" s="95"/>
      <c r="E296" s="95"/>
      <c r="F296" s="95"/>
      <c r="G296" s="95"/>
      <c r="H296" s="143"/>
      <c r="I296" s="95"/>
      <c r="J296" s="95"/>
      <c r="K296" s="95"/>
      <c r="L296" s="95"/>
      <c r="M296" s="95"/>
      <c r="N296" s="106"/>
    </row>
    <row r="297" spans="1:14" ht="20">
      <c r="A297" s="139" t="s">
        <v>391</v>
      </c>
      <c r="B297" s="95"/>
      <c r="C297" s="95"/>
      <c r="D297" s="95"/>
      <c r="E297" s="95"/>
      <c r="F297" s="95"/>
      <c r="G297" s="95"/>
      <c r="H297" s="143"/>
      <c r="I297" s="95"/>
      <c r="J297" s="95"/>
      <c r="K297" s="95"/>
      <c r="L297" s="95"/>
      <c r="M297" s="95"/>
      <c r="N297" s="106"/>
    </row>
    <row r="298" spans="1:14" ht="20">
      <c r="A298" s="115" t="s">
        <v>392</v>
      </c>
      <c r="B298" s="95">
        <v>0</v>
      </c>
      <c r="C298" s="95">
        <v>0</v>
      </c>
      <c r="D298" s="95">
        <v>0</v>
      </c>
      <c r="E298" s="95">
        <v>0</v>
      </c>
      <c r="F298" s="95">
        <v>0</v>
      </c>
      <c r="G298" s="95">
        <v>0</v>
      </c>
      <c r="H298" s="143"/>
      <c r="I298" s="95">
        <v>149</v>
      </c>
      <c r="J298" s="95">
        <v>149</v>
      </c>
      <c r="K298" s="95"/>
      <c r="L298" s="95"/>
      <c r="M298" s="95"/>
      <c r="N298" s="106"/>
    </row>
    <row r="299" spans="1:14" ht="20">
      <c r="A299" s="82" t="s">
        <v>393</v>
      </c>
      <c r="B299" s="95">
        <v>2089.1999999999998</v>
      </c>
      <c r="C299" s="95">
        <v>2056.64</v>
      </c>
      <c r="D299" s="95">
        <v>2338.27</v>
      </c>
      <c r="E299" s="95">
        <v>2152.7199999999998</v>
      </c>
      <c r="F299" s="95">
        <v>2152.7199999999998</v>
      </c>
      <c r="G299" s="95">
        <v>2136.8200000000002</v>
      </c>
      <c r="H299" s="143">
        <v>2136.8200000000002</v>
      </c>
      <c r="I299" s="95">
        <v>2593.6</v>
      </c>
      <c r="J299" s="95">
        <v>2755.43</v>
      </c>
      <c r="K299" s="95">
        <v>2156.29</v>
      </c>
      <c r="L299" s="95">
        <v>2136.8200000000002</v>
      </c>
      <c r="M299" s="95">
        <v>4416.6899999999996</v>
      </c>
      <c r="N299" s="95"/>
    </row>
    <row r="300" spans="1:14" ht="20">
      <c r="A300" s="82" t="s">
        <v>394</v>
      </c>
      <c r="B300" s="95">
        <v>692.35</v>
      </c>
      <c r="C300" s="95">
        <v>461.57</v>
      </c>
      <c r="D300" s="95">
        <v>625</v>
      </c>
      <c r="E300" s="95">
        <v>480.07</v>
      </c>
      <c r="F300" s="95">
        <v>480</v>
      </c>
      <c r="G300" s="95">
        <v>480.07</v>
      </c>
      <c r="H300" s="143">
        <v>480.07</v>
      </c>
      <c r="I300" s="95">
        <v>480.07</v>
      </c>
      <c r="J300" s="95">
        <v>484.42</v>
      </c>
      <c r="K300" s="95">
        <v>3717.58</v>
      </c>
      <c r="L300" s="95">
        <v>639.07000000000005</v>
      </c>
      <c r="M300" s="95">
        <v>754.95</v>
      </c>
      <c r="N300" s="95"/>
    </row>
    <row r="301" spans="1:14" ht="20">
      <c r="A301" s="82" t="s">
        <v>395</v>
      </c>
      <c r="B301" s="95">
        <v>63.44</v>
      </c>
      <c r="C301" s="95">
        <v>77.930000000000007</v>
      </c>
      <c r="D301" s="95">
        <v>0</v>
      </c>
      <c r="E301" s="95">
        <v>50.21</v>
      </c>
      <c r="F301" s="95">
        <v>0</v>
      </c>
      <c r="G301" s="95">
        <v>0</v>
      </c>
      <c r="H301" s="143"/>
      <c r="I301" s="95"/>
      <c r="J301" s="95"/>
      <c r="K301" s="95"/>
      <c r="L301" s="95"/>
      <c r="M301" s="95"/>
      <c r="N301" s="106"/>
    </row>
    <row r="302" spans="1:14" ht="20">
      <c r="A302" s="82" t="s">
        <v>396</v>
      </c>
      <c r="B302" s="95">
        <v>0</v>
      </c>
      <c r="C302" s="95">
        <v>0</v>
      </c>
      <c r="D302" s="95">
        <v>0</v>
      </c>
      <c r="E302" s="95">
        <v>66.13</v>
      </c>
      <c r="F302" s="95">
        <v>0</v>
      </c>
      <c r="G302" s="95">
        <v>0</v>
      </c>
      <c r="H302" s="143"/>
      <c r="I302" s="95"/>
      <c r="J302" s="95"/>
      <c r="K302" s="95"/>
      <c r="L302" s="95"/>
      <c r="M302" s="95"/>
      <c r="N302" s="106"/>
    </row>
    <row r="303" spans="1:14" ht="20">
      <c r="A303" s="82" t="s">
        <v>397</v>
      </c>
      <c r="B303" s="95">
        <v>0</v>
      </c>
      <c r="C303" s="95">
        <v>0</v>
      </c>
      <c r="D303" s="95">
        <v>0</v>
      </c>
      <c r="E303" s="95">
        <v>5.7</v>
      </c>
      <c r="F303" s="95">
        <v>0</v>
      </c>
      <c r="G303" s="95">
        <v>0</v>
      </c>
      <c r="H303" s="143"/>
      <c r="I303" s="95"/>
      <c r="J303" s="95"/>
      <c r="K303" s="95"/>
      <c r="L303" s="95"/>
      <c r="M303" s="95"/>
      <c r="N303" s="106"/>
    </row>
    <row r="304" spans="1:14" ht="20">
      <c r="A304" s="82" t="s">
        <v>398</v>
      </c>
      <c r="B304" s="95">
        <v>0</v>
      </c>
      <c r="C304" s="95">
        <v>0</v>
      </c>
      <c r="D304" s="95">
        <v>0</v>
      </c>
      <c r="E304" s="95">
        <v>348.06</v>
      </c>
      <c r="F304" s="95">
        <v>0</v>
      </c>
      <c r="G304" s="95">
        <v>0</v>
      </c>
      <c r="H304" s="143"/>
      <c r="I304" s="95"/>
      <c r="J304" s="95"/>
      <c r="K304" s="95"/>
      <c r="L304" s="95"/>
      <c r="M304" s="95"/>
      <c r="N304" s="106"/>
    </row>
    <row r="305" spans="1:14" ht="20">
      <c r="A305" s="82" t="s">
        <v>399</v>
      </c>
      <c r="B305" s="95">
        <v>0</v>
      </c>
      <c r="C305" s="95">
        <v>0</v>
      </c>
      <c r="D305" s="95">
        <v>0</v>
      </c>
      <c r="E305" s="95">
        <v>46.4</v>
      </c>
      <c r="F305" s="95">
        <v>0</v>
      </c>
      <c r="G305" s="95">
        <v>0</v>
      </c>
      <c r="H305" s="143"/>
      <c r="I305" s="95"/>
      <c r="J305" s="95">
        <v>46.68</v>
      </c>
      <c r="K305" s="95"/>
      <c r="L305" s="95"/>
      <c r="M305" s="95"/>
      <c r="N305" s="106"/>
    </row>
    <row r="306" spans="1:14" ht="20">
      <c r="A306" s="82" t="s">
        <v>400</v>
      </c>
      <c r="B306" s="95">
        <v>0</v>
      </c>
      <c r="C306" s="95">
        <v>0</v>
      </c>
      <c r="D306" s="95">
        <v>0</v>
      </c>
      <c r="E306" s="95">
        <v>695.66</v>
      </c>
      <c r="F306" s="95">
        <v>0</v>
      </c>
      <c r="G306" s="95">
        <v>0</v>
      </c>
      <c r="H306" s="143"/>
      <c r="I306" s="95"/>
      <c r="J306" s="95"/>
      <c r="K306" s="95"/>
      <c r="L306" s="95"/>
      <c r="M306" s="95"/>
      <c r="N306" s="106"/>
    </row>
    <row r="307" spans="1:14" ht="20">
      <c r="A307" s="82" t="s">
        <v>401</v>
      </c>
      <c r="B307" s="95">
        <v>581.79</v>
      </c>
      <c r="C307" s="95">
        <v>317.62</v>
      </c>
      <c r="D307" s="95">
        <v>732.8</v>
      </c>
      <c r="E307" s="95">
        <v>759.81</v>
      </c>
      <c r="F307" s="95">
        <v>682.43</v>
      </c>
      <c r="G307" s="95">
        <v>338.63</v>
      </c>
      <c r="H307" s="143">
        <v>286.58999999999997</v>
      </c>
      <c r="I307" s="95">
        <v>494.46</v>
      </c>
      <c r="J307" s="95">
        <v>630.53</v>
      </c>
      <c r="K307" s="95">
        <v>626.33000000000004</v>
      </c>
      <c r="L307" s="95">
        <v>295.85000000000002</v>
      </c>
      <c r="M307" s="95">
        <v>297.5</v>
      </c>
      <c r="N307" s="106"/>
    </row>
    <row r="308" spans="1:14" ht="19">
      <c r="A308" s="98" t="s">
        <v>402</v>
      </c>
      <c r="B308" s="95"/>
      <c r="C308" s="95"/>
      <c r="D308" s="95"/>
      <c r="E308" s="95"/>
      <c r="F308" s="95"/>
      <c r="G308" s="95"/>
      <c r="H308" s="143"/>
      <c r="I308" s="95"/>
      <c r="J308" s="95"/>
      <c r="K308" s="95"/>
      <c r="L308" s="95"/>
      <c r="M308" s="95">
        <v>2846.51</v>
      </c>
      <c r="N308" s="95"/>
    </row>
    <row r="309" spans="1:14" ht="20">
      <c r="A309" s="82" t="s">
        <v>403</v>
      </c>
      <c r="B309" s="95"/>
      <c r="C309" s="95"/>
      <c r="D309" s="95"/>
      <c r="E309" s="95"/>
      <c r="F309" s="95">
        <v>19.899999999999999</v>
      </c>
      <c r="G309" s="95">
        <v>21.89</v>
      </c>
      <c r="H309" s="143">
        <v>39.799999999999997</v>
      </c>
      <c r="I309" s="95">
        <v>67.66</v>
      </c>
      <c r="J309" s="95">
        <v>313.32</v>
      </c>
      <c r="K309" s="95">
        <v>43.11</v>
      </c>
      <c r="L309" s="95">
        <v>391.21</v>
      </c>
      <c r="M309" s="95">
        <v>125.63</v>
      </c>
      <c r="N309" s="106"/>
    </row>
    <row r="310" spans="1:14" ht="20">
      <c r="A310" s="82" t="s">
        <v>404</v>
      </c>
      <c r="B310" s="95">
        <v>0</v>
      </c>
      <c r="C310" s="95">
        <v>0</v>
      </c>
      <c r="D310" s="95">
        <v>0.06</v>
      </c>
      <c r="E310" s="95">
        <v>0.11</v>
      </c>
      <c r="F310" s="95">
        <v>24.4</v>
      </c>
      <c r="G310" s="95">
        <v>33.86</v>
      </c>
      <c r="H310" s="143">
        <v>21.8</v>
      </c>
      <c r="I310" s="95">
        <v>25.22</v>
      </c>
      <c r="J310" s="95">
        <v>29.53</v>
      </c>
      <c r="K310" s="95">
        <v>41.49</v>
      </c>
      <c r="L310" s="95">
        <v>29.25</v>
      </c>
      <c r="M310" s="95">
        <v>33.81</v>
      </c>
      <c r="N310" s="106"/>
    </row>
    <row r="311" spans="1:14" ht="20">
      <c r="A311" s="87" t="s">
        <v>405</v>
      </c>
      <c r="B311" s="81">
        <f>SUM(B298:B310)</f>
        <v>3426.7799999999997</v>
      </c>
      <c r="C311" s="81">
        <f t="shared" ref="C311:M311" si="4">SUM(C298:C310)</f>
        <v>2913.7599999999998</v>
      </c>
      <c r="D311" s="81">
        <f t="shared" si="4"/>
        <v>3696.1299999999997</v>
      </c>
      <c r="E311" s="81">
        <f t="shared" si="4"/>
        <v>4604.87</v>
      </c>
      <c r="F311" s="81">
        <f>SUM(F298:F310)</f>
        <v>3359.45</v>
      </c>
      <c r="G311" s="81">
        <f t="shared" si="4"/>
        <v>3011.2700000000004</v>
      </c>
      <c r="H311" s="145">
        <f t="shared" si="4"/>
        <v>2965.0800000000008</v>
      </c>
      <c r="I311" s="81">
        <f t="shared" si="4"/>
        <v>3810.0099999999998</v>
      </c>
      <c r="J311" s="81">
        <f t="shared" si="4"/>
        <v>4408.9099999999989</v>
      </c>
      <c r="K311" s="81">
        <f t="shared" si="4"/>
        <v>6584.7999999999993</v>
      </c>
      <c r="L311" s="81">
        <f t="shared" si="4"/>
        <v>3492.2000000000003</v>
      </c>
      <c r="M311" s="81">
        <f t="shared" si="4"/>
        <v>8475.0899999999983</v>
      </c>
      <c r="N311" s="120">
        <f>SUM(B311:M311)</f>
        <v>50748.349999999991</v>
      </c>
    </row>
    <row r="312" spans="1:14" ht="19">
      <c r="A312" s="87"/>
      <c r="B312" s="95"/>
      <c r="C312" s="95"/>
      <c r="D312" s="95"/>
      <c r="E312" s="95"/>
      <c r="F312" s="95"/>
      <c r="G312" s="95"/>
      <c r="H312" s="143"/>
      <c r="I312" s="95"/>
      <c r="J312" s="95"/>
      <c r="K312" s="95"/>
      <c r="L312" s="95"/>
      <c r="M312" s="95"/>
      <c r="N312" s="106"/>
    </row>
    <row r="313" spans="1:14" ht="42">
      <c r="A313" s="140" t="s">
        <v>406</v>
      </c>
      <c r="B313" s="95"/>
      <c r="C313" s="95"/>
      <c r="D313" s="95"/>
      <c r="E313" s="95"/>
      <c r="F313" s="95"/>
      <c r="G313" s="95"/>
      <c r="H313" s="143"/>
      <c r="I313" s="95"/>
      <c r="J313" s="95"/>
      <c r="K313" s="95"/>
      <c r="L313" s="95"/>
      <c r="M313" s="95"/>
      <c r="N313" s="106"/>
    </row>
    <row r="314" spans="1:14" ht="20">
      <c r="A314" s="87" t="s">
        <v>407</v>
      </c>
      <c r="B314" s="95"/>
      <c r="C314" s="95"/>
      <c r="D314" s="95"/>
      <c r="E314" s="95"/>
      <c r="F314" s="95"/>
      <c r="G314" s="95"/>
      <c r="H314" s="143"/>
      <c r="I314" s="95"/>
      <c r="J314" s="95"/>
      <c r="K314" s="95"/>
      <c r="L314" s="95"/>
      <c r="M314" s="95"/>
      <c r="N314" s="106"/>
    </row>
    <row r="315" spans="1:14" ht="20">
      <c r="A315" s="87" t="s">
        <v>408</v>
      </c>
      <c r="B315" s="95"/>
      <c r="C315" s="95"/>
      <c r="D315" s="95"/>
      <c r="E315" s="95"/>
      <c r="F315" s="95"/>
      <c r="G315" s="95"/>
      <c r="H315" s="143"/>
      <c r="I315" s="95"/>
      <c r="J315" s="95"/>
      <c r="K315" s="95">
        <v>944</v>
      </c>
      <c r="L315" s="95"/>
      <c r="M315" s="95"/>
      <c r="N315" s="106"/>
    </row>
    <row r="316" spans="1:14" ht="20">
      <c r="A316" s="82" t="s">
        <v>409</v>
      </c>
      <c r="B316" s="95"/>
      <c r="C316" s="95"/>
      <c r="D316" s="95"/>
      <c r="E316" s="95"/>
      <c r="F316" s="95"/>
      <c r="G316" s="95"/>
      <c r="H316" s="143"/>
      <c r="I316" s="95"/>
      <c r="J316" s="95">
        <v>1229.97</v>
      </c>
      <c r="K316" s="95">
        <v>1229.97</v>
      </c>
      <c r="L316" s="95">
        <v>1229.97</v>
      </c>
      <c r="M316" s="95">
        <v>1229.97</v>
      </c>
      <c r="N316" s="106"/>
    </row>
    <row r="317" spans="1:14" ht="20">
      <c r="A317" s="82" t="s">
        <v>410</v>
      </c>
      <c r="B317" s="95"/>
      <c r="C317" s="95"/>
      <c r="D317" s="95"/>
      <c r="E317" s="95"/>
      <c r="F317" s="95"/>
      <c r="G317" s="95"/>
      <c r="H317" s="143"/>
      <c r="I317" s="95"/>
      <c r="J317" s="95"/>
      <c r="K317" s="95">
        <v>4961.28</v>
      </c>
      <c r="L317" s="95"/>
      <c r="M317" s="95"/>
      <c r="N317" s="106"/>
    </row>
    <row r="318" spans="1:14" ht="20">
      <c r="A318" s="82" t="s">
        <v>411</v>
      </c>
      <c r="B318" s="95"/>
      <c r="C318" s="95"/>
      <c r="D318" s="95"/>
      <c r="E318" s="95"/>
      <c r="F318" s="95">
        <v>2548.63</v>
      </c>
      <c r="G318" s="95"/>
      <c r="H318" s="143"/>
      <c r="I318" s="95"/>
      <c r="J318" s="95"/>
      <c r="K318" s="95"/>
      <c r="L318" s="95"/>
      <c r="M318" s="95"/>
      <c r="N318" s="106"/>
    </row>
    <row r="319" spans="1:14" ht="20">
      <c r="A319" s="82" t="s">
        <v>412</v>
      </c>
      <c r="B319" s="95"/>
      <c r="C319" s="95"/>
      <c r="D319" s="95"/>
      <c r="E319" s="95"/>
      <c r="F319" s="95"/>
      <c r="G319" s="95"/>
      <c r="H319" s="143"/>
      <c r="I319" s="95"/>
      <c r="J319" s="95"/>
      <c r="K319" s="95"/>
      <c r="L319" s="95">
        <v>119.85</v>
      </c>
      <c r="M319" s="95">
        <v>119.85</v>
      </c>
      <c r="N319" s="106"/>
    </row>
    <row r="320" spans="1:14" ht="20">
      <c r="A320" s="82" t="s">
        <v>413</v>
      </c>
      <c r="B320" s="95"/>
      <c r="C320" s="95"/>
      <c r="D320" s="95"/>
      <c r="E320" s="95"/>
      <c r="F320" s="95"/>
      <c r="G320" s="95">
        <v>1600</v>
      </c>
      <c r="H320" s="143"/>
      <c r="I320" s="95"/>
      <c r="J320" s="95"/>
      <c r="K320" s="95"/>
      <c r="L320" s="95"/>
      <c r="M320" s="95"/>
      <c r="N320" s="106"/>
    </row>
    <row r="321" spans="1:14" ht="20">
      <c r="A321" s="87" t="s">
        <v>414</v>
      </c>
      <c r="B321" s="95"/>
      <c r="C321" s="95"/>
      <c r="D321" s="95"/>
      <c r="E321" s="95"/>
      <c r="F321" s="95"/>
      <c r="G321" s="95"/>
      <c r="H321" s="143"/>
      <c r="I321" s="95"/>
      <c r="J321" s="95"/>
      <c r="K321" s="95"/>
      <c r="L321" s="95"/>
      <c r="M321" s="95"/>
      <c r="N321" s="106"/>
    </row>
    <row r="322" spans="1:14" ht="20">
      <c r="A322" s="87" t="s">
        <v>223</v>
      </c>
      <c r="B322" s="95"/>
      <c r="C322" s="95"/>
      <c r="D322" s="95"/>
      <c r="E322" s="95"/>
      <c r="F322" s="95"/>
      <c r="G322" s="95"/>
      <c r="H322" s="143"/>
      <c r="I322" s="95"/>
      <c r="J322" s="95"/>
      <c r="K322" s="95"/>
      <c r="L322" s="95"/>
      <c r="M322" s="95"/>
      <c r="N322" s="106"/>
    </row>
    <row r="323" spans="1:14" ht="20">
      <c r="A323" s="87" t="s">
        <v>415</v>
      </c>
      <c r="B323" s="95"/>
      <c r="C323" s="95"/>
      <c r="D323" s="95"/>
      <c r="E323" s="95"/>
      <c r="F323" s="95"/>
      <c r="G323" s="95"/>
      <c r="H323" s="143">
        <v>900</v>
      </c>
      <c r="I323" s="95">
        <v>2431.61</v>
      </c>
      <c r="J323" s="95">
        <v>18472.75</v>
      </c>
      <c r="K323" s="95">
        <v>1155</v>
      </c>
      <c r="L323" s="95">
        <v>6863.74</v>
      </c>
      <c r="M323" s="95">
        <v>560</v>
      </c>
      <c r="N323" s="106"/>
    </row>
    <row r="324" spans="1:14" ht="20">
      <c r="A324" s="82" t="s">
        <v>416</v>
      </c>
      <c r="B324" s="95">
        <v>180</v>
      </c>
      <c r="C324" s="95">
        <v>180</v>
      </c>
      <c r="D324" s="95">
        <v>180</v>
      </c>
      <c r="E324" s="95">
        <v>180</v>
      </c>
      <c r="F324" s="95">
        <v>180</v>
      </c>
      <c r="G324" s="95">
        <v>180</v>
      </c>
      <c r="H324" s="143">
        <v>180</v>
      </c>
      <c r="I324" s="95">
        <v>180</v>
      </c>
      <c r="J324" s="95">
        <v>180</v>
      </c>
      <c r="K324" s="95">
        <v>180</v>
      </c>
      <c r="L324" s="95">
        <v>180</v>
      </c>
      <c r="M324" s="95">
        <v>180</v>
      </c>
      <c r="N324" s="106"/>
    </row>
    <row r="325" spans="1:14" ht="20">
      <c r="A325" s="82" t="s">
        <v>417</v>
      </c>
      <c r="B325" s="95">
        <v>0</v>
      </c>
      <c r="C325" s="95">
        <v>0</v>
      </c>
      <c r="D325" s="95">
        <v>0</v>
      </c>
      <c r="E325" s="95">
        <v>0</v>
      </c>
      <c r="F325" s="95">
        <v>0</v>
      </c>
      <c r="G325" s="95">
        <v>510</v>
      </c>
      <c r="H325" s="143"/>
      <c r="I325" s="95"/>
      <c r="J325" s="95"/>
      <c r="K325" s="95"/>
      <c r="L325" s="95"/>
      <c r="M325" s="95"/>
      <c r="N325" s="106"/>
    </row>
    <row r="326" spans="1:14" ht="20">
      <c r="A326" s="82" t="s">
        <v>418</v>
      </c>
      <c r="B326" s="95">
        <v>0</v>
      </c>
      <c r="C326" s="95">
        <v>0</v>
      </c>
      <c r="D326" s="95">
        <v>0</v>
      </c>
      <c r="E326" s="95">
        <v>0</v>
      </c>
      <c r="F326" s="95">
        <v>0</v>
      </c>
      <c r="G326" s="95">
        <v>67.7</v>
      </c>
      <c r="H326" s="143"/>
      <c r="I326" s="95"/>
      <c r="J326" s="95"/>
      <c r="K326" s="95"/>
      <c r="L326" s="95"/>
      <c r="M326" s="95"/>
      <c r="N326" s="106"/>
    </row>
    <row r="327" spans="1:14" ht="20">
      <c r="A327" s="82" t="s">
        <v>419</v>
      </c>
      <c r="B327" s="95">
        <v>0</v>
      </c>
      <c r="C327" s="95">
        <v>0</v>
      </c>
      <c r="D327" s="95">
        <v>0</v>
      </c>
      <c r="E327" s="95">
        <v>0</v>
      </c>
      <c r="F327" s="95">
        <v>0</v>
      </c>
      <c r="G327" s="95">
        <v>687.4</v>
      </c>
      <c r="H327" s="143"/>
      <c r="I327" s="95"/>
      <c r="J327" s="95"/>
      <c r="K327" s="95"/>
      <c r="L327" s="95"/>
      <c r="M327" s="95"/>
      <c r="N327" s="106"/>
    </row>
    <row r="328" spans="1:14" ht="20">
      <c r="A328" s="82" t="s">
        <v>420</v>
      </c>
      <c r="B328" s="95">
        <v>0</v>
      </c>
      <c r="C328" s="95">
        <v>0</v>
      </c>
      <c r="D328" s="95">
        <v>0</v>
      </c>
      <c r="E328" s="95">
        <v>3279.57</v>
      </c>
      <c r="F328" s="95">
        <v>0</v>
      </c>
      <c r="G328" s="95">
        <v>0</v>
      </c>
      <c r="H328" s="143"/>
      <c r="I328" s="95"/>
      <c r="J328" s="95"/>
      <c r="K328" s="95"/>
      <c r="L328" s="95"/>
      <c r="M328" s="95"/>
      <c r="N328" s="106"/>
    </row>
    <row r="329" spans="1:14" ht="20">
      <c r="A329" s="82" t="s">
        <v>421</v>
      </c>
      <c r="B329" s="95">
        <v>640</v>
      </c>
      <c r="C329" s="95">
        <v>640</v>
      </c>
      <c r="D329" s="95">
        <v>0</v>
      </c>
      <c r="E329" s="95">
        <v>0</v>
      </c>
      <c r="F329" s="95">
        <v>0</v>
      </c>
      <c r="G329" s="95">
        <v>0</v>
      </c>
      <c r="H329" s="143"/>
      <c r="I329" s="95"/>
      <c r="J329" s="95"/>
      <c r="K329" s="95"/>
      <c r="L329" s="95"/>
      <c r="M329" s="95"/>
      <c r="N329" s="106"/>
    </row>
    <row r="330" spans="1:14" ht="20">
      <c r="A330" s="82" t="s">
        <v>422</v>
      </c>
      <c r="B330" s="95">
        <v>0</v>
      </c>
      <c r="C330" s="95">
        <v>0</v>
      </c>
      <c r="D330" s="95">
        <v>380</v>
      </c>
      <c r="E330" s="95">
        <v>0</v>
      </c>
      <c r="F330" s="95">
        <v>0</v>
      </c>
      <c r="G330" s="95">
        <v>0</v>
      </c>
      <c r="H330" s="143"/>
      <c r="I330" s="95"/>
      <c r="J330" s="95"/>
      <c r="K330" s="95"/>
      <c r="L330" s="95"/>
      <c r="M330" s="95"/>
      <c r="N330" s="106"/>
    </row>
    <row r="331" spans="1:14" ht="20">
      <c r="A331" s="82" t="s">
        <v>423</v>
      </c>
      <c r="B331" s="95">
        <v>0</v>
      </c>
      <c r="C331" s="95">
        <v>0</v>
      </c>
      <c r="D331" s="95">
        <v>0</v>
      </c>
      <c r="E331" s="95">
        <v>130</v>
      </c>
      <c r="F331" s="95">
        <v>0</v>
      </c>
      <c r="G331" s="95">
        <v>0</v>
      </c>
      <c r="H331" s="143"/>
      <c r="I331" s="95"/>
      <c r="J331" s="95"/>
      <c r="K331" s="95"/>
      <c r="L331" s="95"/>
      <c r="M331" s="95"/>
      <c r="N331" s="106"/>
    </row>
    <row r="332" spans="1:14" ht="40">
      <c r="A332" s="82" t="s">
        <v>424</v>
      </c>
      <c r="B332" s="95">
        <v>0</v>
      </c>
      <c r="C332" s="95">
        <v>0</v>
      </c>
      <c r="D332" s="95">
        <v>0</v>
      </c>
      <c r="E332" s="95">
        <v>0</v>
      </c>
      <c r="F332" s="95">
        <v>164</v>
      </c>
      <c r="G332" s="95">
        <v>0</v>
      </c>
      <c r="H332" s="143"/>
      <c r="I332" s="95"/>
      <c r="J332" s="95"/>
      <c r="K332" s="95"/>
      <c r="L332" s="95"/>
      <c r="M332" s="95"/>
      <c r="N332" s="106"/>
    </row>
    <row r="333" spans="1:14" ht="40">
      <c r="A333" s="82" t="s">
        <v>425</v>
      </c>
      <c r="B333" s="95">
        <v>0</v>
      </c>
      <c r="C333" s="95">
        <v>0</v>
      </c>
      <c r="D333" s="95">
        <v>0</v>
      </c>
      <c r="E333" s="95">
        <v>0</v>
      </c>
      <c r="F333" s="95">
        <v>159.84</v>
      </c>
      <c r="G333" s="95">
        <v>0</v>
      </c>
      <c r="H333" s="143"/>
      <c r="I333" s="95"/>
      <c r="J333" s="95"/>
      <c r="K333" s="95"/>
      <c r="L333" s="95"/>
      <c r="M333" s="95"/>
      <c r="N333" s="106"/>
    </row>
    <row r="334" spans="1:14" ht="20">
      <c r="A334" s="82" t="s">
        <v>426</v>
      </c>
      <c r="B334" s="95">
        <v>0</v>
      </c>
      <c r="C334" s="95">
        <v>0</v>
      </c>
      <c r="D334" s="95">
        <v>0</v>
      </c>
      <c r="E334" s="95">
        <v>373.33</v>
      </c>
      <c r="F334" s="95">
        <v>373.33</v>
      </c>
      <c r="G334" s="95">
        <v>373.34</v>
      </c>
      <c r="H334" s="143"/>
      <c r="I334" s="95"/>
      <c r="J334" s="95"/>
      <c r="K334" s="95"/>
      <c r="L334" s="95"/>
      <c r="M334" s="95"/>
      <c r="N334" s="106"/>
    </row>
    <row r="335" spans="1:14" ht="20">
      <c r="A335" s="82" t="s">
        <v>427</v>
      </c>
      <c r="B335" s="95">
        <v>0</v>
      </c>
      <c r="C335" s="95">
        <v>0</v>
      </c>
      <c r="D335" s="95">
        <v>0</v>
      </c>
      <c r="E335" s="95">
        <v>819</v>
      </c>
      <c r="F335" s="95">
        <v>0</v>
      </c>
      <c r="G335" s="95">
        <v>0</v>
      </c>
      <c r="H335" s="143"/>
      <c r="I335" s="95"/>
      <c r="J335" s="95"/>
      <c r="K335" s="95"/>
      <c r="L335" s="95"/>
      <c r="M335" s="95"/>
      <c r="N335" s="106"/>
    </row>
    <row r="336" spans="1:14" ht="20">
      <c r="A336" s="82" t="s">
        <v>428</v>
      </c>
      <c r="B336" s="95">
        <v>0</v>
      </c>
      <c r="C336" s="95">
        <v>0</v>
      </c>
      <c r="D336" s="95">
        <v>0</v>
      </c>
      <c r="E336" s="95">
        <v>0</v>
      </c>
      <c r="F336" s="95">
        <v>0</v>
      </c>
      <c r="G336" s="95">
        <v>57.21</v>
      </c>
      <c r="H336" s="143"/>
      <c r="I336" s="95"/>
      <c r="J336" s="95"/>
      <c r="K336" s="95"/>
      <c r="L336" s="95"/>
      <c r="M336" s="95"/>
      <c r="N336" s="106"/>
    </row>
    <row r="337" spans="1:14" ht="20">
      <c r="A337" s="82" t="s">
        <v>429</v>
      </c>
      <c r="B337" s="95">
        <v>0</v>
      </c>
      <c r="C337" s="95">
        <v>0</v>
      </c>
      <c r="D337" s="95">
        <v>0</v>
      </c>
      <c r="E337" s="95">
        <v>193.07</v>
      </c>
      <c r="F337" s="95">
        <v>0</v>
      </c>
      <c r="G337" s="95">
        <v>0</v>
      </c>
      <c r="H337" s="143"/>
      <c r="I337" s="95"/>
      <c r="J337" s="95"/>
      <c r="K337" s="95"/>
      <c r="L337" s="95"/>
      <c r="M337" s="95"/>
      <c r="N337" s="106"/>
    </row>
    <row r="338" spans="1:14" ht="20">
      <c r="A338" s="82" t="s">
        <v>430</v>
      </c>
      <c r="B338" s="95">
        <v>0</v>
      </c>
      <c r="C338" s="95">
        <v>0</v>
      </c>
      <c r="D338" s="95">
        <v>0</v>
      </c>
      <c r="E338" s="95">
        <v>0</v>
      </c>
      <c r="F338" s="95">
        <v>56.5</v>
      </c>
      <c r="G338" s="95">
        <v>0</v>
      </c>
      <c r="H338" s="143"/>
      <c r="I338" s="95"/>
      <c r="J338" s="95"/>
      <c r="K338" s="95"/>
      <c r="L338" s="95"/>
      <c r="M338" s="95"/>
      <c r="N338" s="106"/>
    </row>
    <row r="339" spans="1:14" ht="20">
      <c r="A339" s="82" t="s">
        <v>431</v>
      </c>
      <c r="B339" s="95">
        <v>0</v>
      </c>
      <c r="C339" s="95">
        <v>0</v>
      </c>
      <c r="D339" s="95">
        <v>0</v>
      </c>
      <c r="E339" s="95">
        <v>0</v>
      </c>
      <c r="F339" s="95">
        <v>69.16</v>
      </c>
      <c r="G339" s="95">
        <v>0</v>
      </c>
      <c r="H339" s="143"/>
      <c r="I339" s="95"/>
      <c r="J339" s="95"/>
      <c r="K339" s="95"/>
      <c r="L339" s="95"/>
      <c r="M339" s="95"/>
      <c r="N339" s="106"/>
    </row>
    <row r="340" spans="1:14" ht="20">
      <c r="A340" s="82" t="s">
        <v>432</v>
      </c>
      <c r="B340" s="95">
        <v>0</v>
      </c>
      <c r="C340" s="95">
        <v>0</v>
      </c>
      <c r="D340" s="95">
        <v>0</v>
      </c>
      <c r="E340" s="95">
        <v>0</v>
      </c>
      <c r="F340" s="95">
        <v>229.5</v>
      </c>
      <c r="G340" s="95">
        <v>0</v>
      </c>
      <c r="H340" s="143"/>
      <c r="I340" s="95"/>
      <c r="J340" s="95"/>
      <c r="K340" s="95"/>
      <c r="L340" s="95"/>
      <c r="M340" s="95"/>
      <c r="N340" s="106"/>
    </row>
    <row r="341" spans="1:14" ht="20">
      <c r="A341" s="82" t="s">
        <v>433</v>
      </c>
      <c r="B341" s="95">
        <v>0</v>
      </c>
      <c r="C341" s="95">
        <v>0</v>
      </c>
      <c r="D341" s="95">
        <v>0</v>
      </c>
      <c r="E341" s="95">
        <v>0</v>
      </c>
      <c r="F341" s="95">
        <v>200</v>
      </c>
      <c r="G341" s="95">
        <v>0</v>
      </c>
      <c r="H341" s="143"/>
      <c r="I341" s="95"/>
      <c r="J341" s="95"/>
      <c r="K341" s="95"/>
      <c r="L341" s="95"/>
      <c r="M341" s="95"/>
      <c r="N341" s="106"/>
    </row>
    <row r="342" spans="1:14" ht="24" customHeight="1">
      <c r="A342" s="82" t="s">
        <v>434</v>
      </c>
      <c r="B342" s="95">
        <v>0</v>
      </c>
      <c r="C342" s="95">
        <v>0</v>
      </c>
      <c r="D342" s="95">
        <v>0</v>
      </c>
      <c r="E342" s="95">
        <v>0</v>
      </c>
      <c r="F342" s="95">
        <v>130</v>
      </c>
      <c r="G342" s="95">
        <v>0</v>
      </c>
      <c r="H342" s="143"/>
      <c r="I342" s="95"/>
      <c r="J342" s="95"/>
      <c r="K342" s="95"/>
      <c r="L342" s="95"/>
      <c r="M342" s="95"/>
      <c r="N342" s="106"/>
    </row>
    <row r="343" spans="1:14" ht="20">
      <c r="A343" s="82" t="s">
        <v>435</v>
      </c>
      <c r="B343" s="95">
        <v>0</v>
      </c>
      <c r="C343" s="95">
        <v>0</v>
      </c>
      <c r="D343" s="95">
        <v>0</v>
      </c>
      <c r="E343" s="95">
        <v>0</v>
      </c>
      <c r="F343" s="95">
        <v>680</v>
      </c>
      <c r="G343" s="95">
        <v>0</v>
      </c>
      <c r="H343" s="143"/>
      <c r="I343" s="95"/>
      <c r="J343" s="95"/>
      <c r="K343" s="95"/>
      <c r="L343" s="95"/>
      <c r="M343" s="95"/>
      <c r="N343" s="106"/>
    </row>
    <row r="344" spans="1:14" ht="40">
      <c r="A344" s="82" t="s">
        <v>436</v>
      </c>
      <c r="B344" s="95">
        <v>54</v>
      </c>
      <c r="C344" s="95">
        <v>0</v>
      </c>
      <c r="D344" s="95">
        <v>0</v>
      </c>
      <c r="E344" s="95">
        <v>0</v>
      </c>
      <c r="F344" s="95">
        <v>0</v>
      </c>
      <c r="G344" s="95">
        <v>0</v>
      </c>
      <c r="H344" s="143"/>
      <c r="I344" s="95"/>
      <c r="J344" s="95"/>
      <c r="K344" s="95"/>
      <c r="L344" s="95"/>
      <c r="M344" s="95"/>
      <c r="N344" s="106"/>
    </row>
    <row r="345" spans="1:14" ht="20">
      <c r="A345" s="82" t="s">
        <v>437</v>
      </c>
      <c r="B345" s="95">
        <v>350</v>
      </c>
      <c r="C345" s="95">
        <v>0</v>
      </c>
      <c r="D345" s="95">
        <v>0</v>
      </c>
      <c r="E345" s="95">
        <v>0</v>
      </c>
      <c r="F345" s="95">
        <v>0</v>
      </c>
      <c r="G345" s="95">
        <v>0</v>
      </c>
      <c r="H345" s="143"/>
      <c r="I345" s="95"/>
      <c r="J345" s="95"/>
      <c r="K345" s="95"/>
      <c r="L345" s="95"/>
      <c r="M345" s="95"/>
      <c r="N345" s="106"/>
    </row>
    <row r="346" spans="1:14" ht="20">
      <c r="A346" s="82" t="s">
        <v>438</v>
      </c>
      <c r="B346" s="95">
        <v>215</v>
      </c>
      <c r="C346" s="95">
        <v>240</v>
      </c>
      <c r="D346" s="95">
        <v>0</v>
      </c>
      <c r="E346" s="95">
        <v>0</v>
      </c>
      <c r="F346" s="95">
        <v>0</v>
      </c>
      <c r="G346" s="95">
        <v>0</v>
      </c>
      <c r="H346" s="143"/>
      <c r="I346" s="95"/>
      <c r="J346" s="95"/>
      <c r="K346" s="113">
        <v>260</v>
      </c>
      <c r="L346" s="95"/>
      <c r="M346" s="95"/>
      <c r="N346" s="106"/>
    </row>
    <row r="347" spans="1:14" ht="20">
      <c r="A347" s="82" t="s">
        <v>439</v>
      </c>
      <c r="B347" s="95">
        <v>600</v>
      </c>
      <c r="C347" s="95">
        <v>0</v>
      </c>
      <c r="D347" s="95">
        <v>0</v>
      </c>
      <c r="E347" s="95">
        <v>0</v>
      </c>
      <c r="F347" s="95">
        <v>0</v>
      </c>
      <c r="G347" s="95">
        <v>0</v>
      </c>
      <c r="H347" s="143"/>
      <c r="I347" s="95"/>
      <c r="J347" s="95"/>
      <c r="K347" s="95"/>
      <c r="L347" s="95"/>
      <c r="M347" s="95"/>
      <c r="N347" s="106"/>
    </row>
    <row r="348" spans="1:14" ht="20">
      <c r="A348" s="82" t="s">
        <v>440</v>
      </c>
      <c r="B348" s="95">
        <v>1890</v>
      </c>
      <c r="C348" s="95">
        <v>0</v>
      </c>
      <c r="D348" s="95">
        <v>0</v>
      </c>
      <c r="E348" s="95">
        <v>0</v>
      </c>
      <c r="F348" s="95">
        <v>0</v>
      </c>
      <c r="G348" s="95">
        <v>0</v>
      </c>
      <c r="H348" s="143"/>
      <c r="I348" s="95"/>
      <c r="J348" s="95"/>
      <c r="K348" s="95"/>
      <c r="L348" s="95"/>
      <c r="M348" s="95"/>
      <c r="N348" s="106"/>
    </row>
    <row r="349" spans="1:14" ht="20">
      <c r="A349" s="82" t="s">
        <v>256</v>
      </c>
      <c r="B349" s="81">
        <f>SUM(B314:B348)</f>
        <v>3929</v>
      </c>
      <c r="C349" s="81">
        <f t="shared" ref="C349:M349" si="5">SUM(C314:C348)</f>
        <v>1060</v>
      </c>
      <c r="D349" s="81">
        <f t="shared" si="5"/>
        <v>560</v>
      </c>
      <c r="E349" s="81">
        <f t="shared" si="5"/>
        <v>4974.9699999999993</v>
      </c>
      <c r="F349" s="81">
        <f>SUM(F314:F348)</f>
        <v>4790.96</v>
      </c>
      <c r="G349" s="81">
        <f t="shared" si="5"/>
        <v>3475.65</v>
      </c>
      <c r="H349" s="145">
        <f t="shared" si="5"/>
        <v>1080</v>
      </c>
      <c r="I349" s="81">
        <f t="shared" si="5"/>
        <v>2611.61</v>
      </c>
      <c r="J349" s="81">
        <f t="shared" si="5"/>
        <v>19882.72</v>
      </c>
      <c r="K349" s="81">
        <f t="shared" si="5"/>
        <v>8730.25</v>
      </c>
      <c r="L349" s="81">
        <f t="shared" si="5"/>
        <v>8393.56</v>
      </c>
      <c r="M349" s="81">
        <f t="shared" si="5"/>
        <v>2089.8199999999997</v>
      </c>
      <c r="N349" s="81">
        <f>SUM(B349:M349)</f>
        <v>61578.54</v>
      </c>
    </row>
    <row r="350" spans="1:14" ht="22" customHeight="1">
      <c r="A350" s="87" t="s">
        <v>441</v>
      </c>
      <c r="B350" s="95">
        <v>0</v>
      </c>
      <c r="C350" s="95">
        <v>0</v>
      </c>
      <c r="D350" s="95">
        <v>0</v>
      </c>
      <c r="E350" s="95">
        <v>0</v>
      </c>
      <c r="F350" s="95"/>
      <c r="G350" s="95"/>
      <c r="H350" s="143"/>
      <c r="I350" s="95"/>
      <c r="J350" s="95"/>
      <c r="K350" s="95"/>
      <c r="L350" s="95"/>
      <c r="M350" s="95"/>
      <c r="N350" s="106"/>
    </row>
    <row r="351" spans="1:14" ht="40">
      <c r="A351" s="87" t="s">
        <v>442</v>
      </c>
      <c r="B351" s="95"/>
      <c r="C351" s="95"/>
      <c r="D351" s="95"/>
      <c r="E351" s="95"/>
      <c r="F351" s="95"/>
      <c r="G351" s="95"/>
      <c r="H351" s="143"/>
      <c r="I351" s="95"/>
      <c r="J351" s="95"/>
      <c r="K351" s="95"/>
      <c r="L351" s="95"/>
      <c r="M351" s="95"/>
      <c r="N351" s="106"/>
    </row>
    <row r="352" spans="1:14" ht="20">
      <c r="A352" s="82" t="s">
        <v>443</v>
      </c>
      <c r="B352" s="95">
        <v>0</v>
      </c>
      <c r="C352" s="95">
        <v>0</v>
      </c>
      <c r="D352" s="95">
        <v>0</v>
      </c>
      <c r="E352" s="95">
        <v>1000000</v>
      </c>
      <c r="F352" s="95">
        <v>0</v>
      </c>
      <c r="G352" s="95">
        <v>0</v>
      </c>
      <c r="H352" s="143"/>
      <c r="I352" s="95"/>
      <c r="J352" s="95"/>
      <c r="K352" s="95"/>
      <c r="L352" s="95"/>
      <c r="M352" s="95"/>
      <c r="N352" s="106"/>
    </row>
    <row r="353" spans="1:15" ht="20">
      <c r="A353" s="82" t="s">
        <v>444</v>
      </c>
      <c r="B353" s="95">
        <v>0</v>
      </c>
      <c r="C353" s="95">
        <v>0</v>
      </c>
      <c r="D353" s="95">
        <v>0</v>
      </c>
      <c r="E353" s="95">
        <v>75912.91</v>
      </c>
      <c r="F353" s="95">
        <v>75912.91</v>
      </c>
      <c r="G353" s="95">
        <v>75912.91</v>
      </c>
      <c r="H353" s="143">
        <v>75912.91</v>
      </c>
      <c r="I353" s="95">
        <v>75912.91</v>
      </c>
      <c r="J353" s="95">
        <v>75912.91</v>
      </c>
      <c r="K353" s="95">
        <v>315912.90999999997</v>
      </c>
      <c r="L353" s="95">
        <v>75912.91</v>
      </c>
      <c r="M353" s="95">
        <v>75912.91</v>
      </c>
      <c r="N353" s="106"/>
    </row>
    <row r="354" spans="1:15" ht="20">
      <c r="A354" s="82" t="s">
        <v>445</v>
      </c>
      <c r="B354" s="95"/>
      <c r="C354" s="95"/>
      <c r="D354" s="95"/>
      <c r="E354" s="95"/>
      <c r="F354" s="95"/>
      <c r="G354" s="95"/>
      <c r="H354" s="143"/>
      <c r="I354" s="95"/>
      <c r="J354" s="95"/>
      <c r="K354" s="95"/>
      <c r="L354" s="95"/>
      <c r="M354" s="95"/>
      <c r="N354" s="106"/>
    </row>
    <row r="355" spans="1:15" ht="20">
      <c r="A355" s="87" t="s">
        <v>446</v>
      </c>
      <c r="B355" s="81">
        <f>SUM(B352:B354)</f>
        <v>0</v>
      </c>
      <c r="C355" s="81">
        <f t="shared" ref="C355:M355" si="6">SUM(C352:C354)</f>
        <v>0</v>
      </c>
      <c r="D355" s="81">
        <f t="shared" si="6"/>
        <v>0</v>
      </c>
      <c r="E355" s="81">
        <f t="shared" si="6"/>
        <v>1075912.9099999999</v>
      </c>
      <c r="F355" s="81">
        <f>SUM(F352:F354)</f>
        <v>75912.91</v>
      </c>
      <c r="G355" s="81">
        <f t="shared" si="6"/>
        <v>75912.91</v>
      </c>
      <c r="H355" s="145">
        <f t="shared" si="6"/>
        <v>75912.91</v>
      </c>
      <c r="I355" s="81">
        <f t="shared" si="6"/>
        <v>75912.91</v>
      </c>
      <c r="J355" s="81">
        <f t="shared" si="6"/>
        <v>75912.91</v>
      </c>
      <c r="K355" s="81">
        <f t="shared" si="6"/>
        <v>315912.90999999997</v>
      </c>
      <c r="L355" s="81">
        <f t="shared" si="6"/>
        <v>75912.91</v>
      </c>
      <c r="M355" s="81">
        <f t="shared" si="6"/>
        <v>75912.91</v>
      </c>
      <c r="N355" s="81">
        <f>SUM(B355:M355)</f>
        <v>1923216.1899999992</v>
      </c>
      <c r="O355" s="106">
        <f>SUM(N355+N349)</f>
        <v>1984794.7299999993</v>
      </c>
    </row>
    <row r="356" spans="1:15" ht="19">
      <c r="A356" s="90"/>
      <c r="B356" s="95"/>
      <c r="C356" s="95"/>
      <c r="D356" s="95"/>
      <c r="E356" s="95"/>
      <c r="F356" s="95"/>
      <c r="G356" s="95"/>
      <c r="H356" s="143"/>
      <c r="I356" s="95"/>
      <c r="J356" s="95"/>
      <c r="K356" s="95"/>
      <c r="L356" s="95"/>
      <c r="M356" s="95"/>
      <c r="N356" s="106"/>
    </row>
    <row r="357" spans="1:15" ht="20">
      <c r="A357" s="139" t="s">
        <v>447</v>
      </c>
      <c r="B357" s="95"/>
      <c r="C357" s="95"/>
      <c r="D357" s="95"/>
      <c r="E357" s="95"/>
      <c r="F357" s="95"/>
      <c r="G357" s="95"/>
      <c r="H357" s="143"/>
      <c r="I357" s="95"/>
      <c r="J357" s="95"/>
      <c r="K357" s="95"/>
      <c r="L357" s="95"/>
      <c r="M357" s="95"/>
      <c r="N357" s="106"/>
    </row>
    <row r="358" spans="1:15" ht="19">
      <c r="A358" s="79"/>
      <c r="B358" s="95"/>
      <c r="C358" s="95"/>
      <c r="D358" s="95"/>
      <c r="E358" s="95"/>
      <c r="F358" s="95"/>
      <c r="G358" s="95"/>
      <c r="H358" s="143"/>
      <c r="I358" s="95"/>
      <c r="J358" s="95"/>
      <c r="K358" s="95"/>
      <c r="L358" s="95"/>
      <c r="M358" s="95"/>
      <c r="N358" s="106"/>
    </row>
    <row r="359" spans="1:15" ht="20">
      <c r="A359" s="87" t="s">
        <v>448</v>
      </c>
      <c r="B359" s="95"/>
      <c r="C359" s="95"/>
      <c r="D359" s="95"/>
      <c r="E359" s="95"/>
      <c r="F359" s="95"/>
      <c r="G359" s="95"/>
      <c r="H359" s="143"/>
      <c r="I359" s="95"/>
      <c r="J359" s="95"/>
      <c r="K359" s="95"/>
      <c r="L359" s="95"/>
      <c r="M359" s="95"/>
      <c r="N359" s="81"/>
    </row>
    <row r="360" spans="1:15" ht="20">
      <c r="A360" s="82" t="s">
        <v>449</v>
      </c>
      <c r="B360" s="95">
        <v>0</v>
      </c>
      <c r="C360" s="95">
        <v>0</v>
      </c>
      <c r="D360" s="95">
        <v>930</v>
      </c>
      <c r="E360" s="95">
        <v>0</v>
      </c>
      <c r="F360" s="95">
        <v>0</v>
      </c>
      <c r="G360" s="95">
        <v>0</v>
      </c>
      <c r="H360" s="143"/>
      <c r="I360" s="95"/>
      <c r="J360" s="95"/>
      <c r="K360" s="95"/>
      <c r="L360" s="95"/>
      <c r="M360" s="95"/>
      <c r="N360" s="81"/>
    </row>
    <row r="361" spans="1:15" ht="20">
      <c r="A361" s="82" t="s">
        <v>450</v>
      </c>
      <c r="B361" s="95">
        <v>0</v>
      </c>
      <c r="C361" s="95">
        <v>0</v>
      </c>
      <c r="D361" s="95">
        <v>23.3</v>
      </c>
      <c r="E361" s="95">
        <v>0</v>
      </c>
      <c r="F361" s="95">
        <v>0</v>
      </c>
      <c r="G361" s="95">
        <v>0</v>
      </c>
      <c r="H361" s="143"/>
      <c r="I361" s="95"/>
      <c r="J361" s="95"/>
      <c r="K361" s="95"/>
      <c r="L361" s="95"/>
      <c r="M361" s="95"/>
      <c r="N361" s="81"/>
    </row>
    <row r="362" spans="1:15" ht="20">
      <c r="A362" s="82" t="s">
        <v>451</v>
      </c>
      <c r="B362" s="95">
        <v>0</v>
      </c>
      <c r="C362" s="95">
        <v>0</v>
      </c>
      <c r="D362" s="95">
        <v>0</v>
      </c>
      <c r="E362" s="95">
        <v>220</v>
      </c>
      <c r="F362" s="95">
        <v>0</v>
      </c>
      <c r="G362" s="95">
        <v>0</v>
      </c>
      <c r="H362" s="143"/>
      <c r="I362" s="95"/>
      <c r="J362" s="95"/>
      <c r="K362" s="95"/>
      <c r="L362" s="95"/>
      <c r="M362" s="95"/>
      <c r="N362" s="81"/>
    </row>
    <row r="363" spans="1:15" ht="20">
      <c r="A363" s="82" t="s">
        <v>452</v>
      </c>
      <c r="B363" s="95">
        <v>0</v>
      </c>
      <c r="C363" s="95">
        <v>0</v>
      </c>
      <c r="D363" s="95">
        <v>1881.23</v>
      </c>
      <c r="E363" s="95">
        <v>0</v>
      </c>
      <c r="F363" s="95">
        <v>0</v>
      </c>
      <c r="G363" s="95">
        <v>0</v>
      </c>
      <c r="H363" s="143"/>
      <c r="I363" s="95"/>
      <c r="J363" s="95"/>
      <c r="K363" s="95"/>
      <c r="L363" s="95"/>
      <c r="M363" s="95"/>
      <c r="N363" s="81"/>
    </row>
    <row r="364" spans="1:15" ht="20">
      <c r="A364" s="82" t="s">
        <v>453</v>
      </c>
      <c r="B364" s="95">
        <v>0</v>
      </c>
      <c r="C364" s="95">
        <v>0</v>
      </c>
      <c r="D364" s="95">
        <v>771.66</v>
      </c>
      <c r="E364" s="95">
        <v>0</v>
      </c>
      <c r="F364" s="95">
        <v>0</v>
      </c>
      <c r="G364" s="95">
        <v>0</v>
      </c>
      <c r="H364" s="143"/>
      <c r="I364" s="95"/>
      <c r="J364" s="95"/>
      <c r="K364" s="95"/>
      <c r="L364" s="95"/>
      <c r="M364" s="95"/>
      <c r="N364" s="81"/>
    </row>
    <row r="365" spans="1:15" ht="20">
      <c r="A365" s="82" t="s">
        <v>454</v>
      </c>
      <c r="B365" s="95">
        <v>0</v>
      </c>
      <c r="C365" s="95">
        <v>0</v>
      </c>
      <c r="D365" s="95">
        <v>1017.4</v>
      </c>
      <c r="E365" s="95">
        <v>0</v>
      </c>
      <c r="F365" s="95">
        <v>0</v>
      </c>
      <c r="G365" s="95">
        <v>0</v>
      </c>
      <c r="H365" s="143"/>
      <c r="I365" s="95"/>
      <c r="J365" s="95"/>
      <c r="K365" s="95"/>
      <c r="L365" s="95"/>
      <c r="M365" s="95"/>
      <c r="N365" s="81"/>
    </row>
    <row r="366" spans="1:15" ht="20">
      <c r="A366" s="82" t="s">
        <v>455</v>
      </c>
      <c r="B366" s="95">
        <v>0</v>
      </c>
      <c r="C366" s="95">
        <v>0</v>
      </c>
      <c r="D366" s="95">
        <v>1060</v>
      </c>
      <c r="E366" s="95">
        <v>0</v>
      </c>
      <c r="F366" s="95">
        <v>0</v>
      </c>
      <c r="G366" s="95">
        <v>0</v>
      </c>
      <c r="H366" s="143"/>
      <c r="I366" s="95"/>
      <c r="J366" s="95"/>
      <c r="K366" s="95"/>
      <c r="L366" s="95"/>
      <c r="M366" s="95"/>
      <c r="N366" s="81"/>
    </row>
    <row r="367" spans="1:15" ht="20">
      <c r="A367" s="82" t="s">
        <v>456</v>
      </c>
      <c r="B367" s="95">
        <v>0</v>
      </c>
      <c r="C367" s="95">
        <v>0</v>
      </c>
      <c r="D367" s="95">
        <f>SUM(D360:D366)</f>
        <v>5683.5899999999992</v>
      </c>
      <c r="E367" s="95">
        <f>SUM(E360:E366)</f>
        <v>220</v>
      </c>
      <c r="F367" s="95">
        <v>0</v>
      </c>
      <c r="G367" s="95">
        <v>0</v>
      </c>
      <c r="H367" s="143"/>
      <c r="I367" s="95"/>
      <c r="J367" s="95"/>
      <c r="K367" s="95"/>
      <c r="L367" s="95"/>
      <c r="M367" s="95"/>
      <c r="N367" s="81"/>
    </row>
    <row r="368" spans="1:15" ht="20">
      <c r="A368" s="87" t="s">
        <v>457</v>
      </c>
      <c r="B368" s="95">
        <v>0</v>
      </c>
      <c r="C368" s="95">
        <v>500</v>
      </c>
      <c r="D368" s="95">
        <v>0</v>
      </c>
      <c r="E368" s="95">
        <v>0</v>
      </c>
      <c r="F368" s="95">
        <v>500</v>
      </c>
      <c r="G368" s="95">
        <v>0</v>
      </c>
      <c r="H368" s="143">
        <v>500</v>
      </c>
      <c r="I368" s="95"/>
      <c r="J368" s="95"/>
      <c r="K368" s="95">
        <v>500</v>
      </c>
      <c r="L368" s="95"/>
      <c r="M368" s="95"/>
      <c r="N368" s="81"/>
    </row>
    <row r="369" spans="1:14" ht="20">
      <c r="A369" s="87" t="s">
        <v>458</v>
      </c>
      <c r="B369" s="95">
        <v>0</v>
      </c>
      <c r="C369" s="95">
        <v>0</v>
      </c>
      <c r="D369" s="95">
        <v>0</v>
      </c>
      <c r="E369" s="95">
        <v>0</v>
      </c>
      <c r="F369" s="95">
        <v>0</v>
      </c>
      <c r="G369" s="95">
        <v>0</v>
      </c>
      <c r="H369" s="143"/>
      <c r="I369" s="95">
        <v>1000</v>
      </c>
      <c r="J369" s="95"/>
      <c r="K369" s="95">
        <v>2265</v>
      </c>
      <c r="L369" s="95"/>
      <c r="M369" s="95"/>
      <c r="N369" s="81"/>
    </row>
    <row r="370" spans="1:14" ht="20">
      <c r="A370" s="87" t="s">
        <v>459</v>
      </c>
      <c r="B370" s="95">
        <v>0</v>
      </c>
      <c r="C370" s="95">
        <v>2916.66</v>
      </c>
      <c r="D370" s="95">
        <v>1733.34</v>
      </c>
      <c r="E370" s="95">
        <v>3100</v>
      </c>
      <c r="F370" s="95">
        <v>1550</v>
      </c>
      <c r="G370" s="95">
        <v>4200</v>
      </c>
      <c r="H370" s="143">
        <v>0</v>
      </c>
      <c r="I370" s="95">
        <v>1550</v>
      </c>
      <c r="J370" s="95">
        <v>4650</v>
      </c>
      <c r="K370" s="95"/>
      <c r="L370" s="95">
        <v>0</v>
      </c>
      <c r="M370" s="95">
        <v>3100</v>
      </c>
      <c r="N370" s="81"/>
    </row>
    <row r="371" spans="1:14" ht="20">
      <c r="A371" s="87" t="s">
        <v>460</v>
      </c>
      <c r="B371" s="95">
        <v>0</v>
      </c>
      <c r="C371" s="95">
        <v>0</v>
      </c>
      <c r="D371" s="95">
        <v>0</v>
      </c>
      <c r="E371" s="95">
        <v>0</v>
      </c>
      <c r="F371" s="95">
        <v>0</v>
      </c>
      <c r="G371" s="95">
        <v>1500</v>
      </c>
      <c r="H371" s="143">
        <v>500</v>
      </c>
      <c r="I371" s="95"/>
      <c r="J371" s="95"/>
      <c r="K371" s="95">
        <v>1000</v>
      </c>
      <c r="L371" s="95"/>
      <c r="M371" s="95"/>
      <c r="N371" s="81"/>
    </row>
    <row r="372" spans="1:14" ht="20">
      <c r="A372" s="87" t="s">
        <v>461</v>
      </c>
      <c r="B372" s="95">
        <v>0</v>
      </c>
      <c r="C372" s="95">
        <v>750</v>
      </c>
      <c r="D372" s="95">
        <v>0</v>
      </c>
      <c r="E372" s="95">
        <v>0</v>
      </c>
      <c r="F372" s="95">
        <v>0</v>
      </c>
      <c r="G372" s="95">
        <v>0</v>
      </c>
      <c r="H372" s="143">
        <v>2000</v>
      </c>
      <c r="I372" s="95"/>
      <c r="J372" s="95"/>
      <c r="K372" s="95"/>
      <c r="L372" s="95"/>
      <c r="M372" s="95"/>
      <c r="N372" s="81"/>
    </row>
    <row r="373" spans="1:14" ht="20">
      <c r="A373" s="82" t="s">
        <v>462</v>
      </c>
      <c r="B373" s="95">
        <v>0</v>
      </c>
      <c r="C373" s="95">
        <v>0</v>
      </c>
      <c r="D373" s="95">
        <v>0</v>
      </c>
      <c r="E373" s="95">
        <v>0</v>
      </c>
      <c r="F373" s="95">
        <v>0</v>
      </c>
      <c r="G373" s="95">
        <v>0</v>
      </c>
      <c r="H373" s="143"/>
      <c r="I373" s="95"/>
      <c r="J373" s="95">
        <v>750</v>
      </c>
      <c r="K373" s="95"/>
      <c r="L373" s="95"/>
      <c r="M373" s="95"/>
      <c r="N373" s="81"/>
    </row>
    <row r="374" spans="1:14" ht="20">
      <c r="A374" s="82" t="s">
        <v>463</v>
      </c>
      <c r="B374" s="95">
        <v>0</v>
      </c>
      <c r="C374" s="95">
        <v>1000</v>
      </c>
      <c r="D374" s="95">
        <v>0</v>
      </c>
      <c r="E374" s="95">
        <v>0</v>
      </c>
      <c r="F374" s="95">
        <v>0</v>
      </c>
      <c r="G374" s="95">
        <v>500</v>
      </c>
      <c r="H374" s="143"/>
      <c r="I374" s="95"/>
      <c r="J374" s="95">
        <v>300</v>
      </c>
      <c r="K374" s="95"/>
      <c r="L374" s="95"/>
      <c r="M374" s="95">
        <v>497.27</v>
      </c>
      <c r="N374" s="81"/>
    </row>
    <row r="375" spans="1:14" ht="20">
      <c r="A375" s="82" t="s">
        <v>464</v>
      </c>
      <c r="B375" s="95">
        <v>0</v>
      </c>
      <c r="C375" s="95">
        <v>0</v>
      </c>
      <c r="D375" s="95">
        <v>0</v>
      </c>
      <c r="E375" s="95">
        <v>0</v>
      </c>
      <c r="F375" s="95">
        <v>580</v>
      </c>
      <c r="G375" s="95">
        <v>0</v>
      </c>
      <c r="H375" s="143"/>
      <c r="I375" s="95"/>
      <c r="J375" s="95"/>
      <c r="K375" s="95"/>
      <c r="L375" s="95"/>
      <c r="M375" s="95">
        <v>500</v>
      </c>
      <c r="N375" s="81"/>
    </row>
    <row r="376" spans="1:14" ht="20">
      <c r="A376" s="82" t="s">
        <v>465</v>
      </c>
      <c r="B376" s="95">
        <v>0</v>
      </c>
      <c r="C376" s="95">
        <v>0</v>
      </c>
      <c r="D376" s="95">
        <v>0</v>
      </c>
      <c r="E376" s="95">
        <v>0</v>
      </c>
      <c r="F376" s="95">
        <v>0</v>
      </c>
      <c r="G376" s="95">
        <v>0</v>
      </c>
      <c r="H376" s="143"/>
      <c r="I376" s="95">
        <v>1000</v>
      </c>
      <c r="J376" s="95">
        <v>3000</v>
      </c>
      <c r="K376" s="95"/>
      <c r="L376" s="95"/>
      <c r="M376" s="95"/>
      <c r="N376" s="81"/>
    </row>
    <row r="377" spans="1:14" ht="20">
      <c r="A377" s="82" t="s">
        <v>466</v>
      </c>
      <c r="B377" s="95">
        <v>0</v>
      </c>
      <c r="C377" s="95">
        <f>SUM(C372:C376)</f>
        <v>1750</v>
      </c>
      <c r="D377" s="95">
        <v>0</v>
      </c>
      <c r="E377" s="95">
        <v>0</v>
      </c>
      <c r="F377" s="95">
        <f>SUM(F371:F376)</f>
        <v>580</v>
      </c>
      <c r="G377" s="95">
        <v>500</v>
      </c>
      <c r="H377" s="143"/>
      <c r="I377" s="95"/>
      <c r="J377" s="95"/>
      <c r="K377" s="95"/>
      <c r="L377" s="95"/>
      <c r="M377" s="95"/>
      <c r="N377" s="81"/>
    </row>
    <row r="378" spans="1:14" ht="20">
      <c r="A378" s="82" t="s">
        <v>467</v>
      </c>
      <c r="B378" s="95">
        <v>0</v>
      </c>
      <c r="C378" s="95">
        <v>0</v>
      </c>
      <c r="D378" s="95">
        <v>0</v>
      </c>
      <c r="E378" s="95">
        <v>0</v>
      </c>
      <c r="F378" s="95">
        <v>580</v>
      </c>
      <c r="G378" s="95">
        <v>0</v>
      </c>
      <c r="H378" s="143"/>
      <c r="I378" s="95"/>
      <c r="J378" s="95"/>
      <c r="K378" s="95"/>
      <c r="L378" s="95"/>
      <c r="M378" s="95"/>
      <c r="N378" s="81"/>
    </row>
    <row r="379" spans="1:14" ht="19">
      <c r="A379" s="90" t="s">
        <v>468</v>
      </c>
      <c r="B379" s="95">
        <v>0</v>
      </c>
      <c r="C379" s="95">
        <v>0</v>
      </c>
      <c r="D379" s="95">
        <v>0</v>
      </c>
      <c r="E379" s="95">
        <v>0</v>
      </c>
      <c r="F379" s="95">
        <v>800</v>
      </c>
      <c r="G379" s="95">
        <v>0</v>
      </c>
      <c r="H379" s="143">
        <v>3764.33</v>
      </c>
      <c r="I379" s="95"/>
      <c r="J379" s="95"/>
      <c r="K379" s="95">
        <v>495.56</v>
      </c>
      <c r="L379" s="95"/>
      <c r="M379" s="95"/>
      <c r="N379" s="81"/>
    </row>
    <row r="380" spans="1:14" ht="19">
      <c r="A380" s="90" t="s">
        <v>469</v>
      </c>
      <c r="B380" s="95">
        <v>0</v>
      </c>
      <c r="C380" s="95">
        <v>0</v>
      </c>
      <c r="D380" s="95">
        <v>0</v>
      </c>
      <c r="E380" s="95">
        <v>0</v>
      </c>
      <c r="F380" s="95">
        <v>0</v>
      </c>
      <c r="G380" s="95">
        <v>0</v>
      </c>
      <c r="H380" s="143"/>
      <c r="I380" s="95"/>
      <c r="J380" s="95"/>
      <c r="K380" s="95"/>
      <c r="L380" s="95"/>
      <c r="M380" s="95"/>
      <c r="N380" s="81"/>
    </row>
    <row r="381" spans="1:14" ht="19">
      <c r="A381" s="90" t="s">
        <v>470</v>
      </c>
      <c r="B381" s="95">
        <v>190</v>
      </c>
      <c r="C381" s="95">
        <v>0</v>
      </c>
      <c r="D381" s="95">
        <v>900</v>
      </c>
      <c r="E381" s="95">
        <v>1100</v>
      </c>
      <c r="F381" s="95">
        <v>1600</v>
      </c>
      <c r="G381" s="95">
        <v>700</v>
      </c>
      <c r="H381" s="143">
        <v>3400</v>
      </c>
      <c r="I381" s="95"/>
      <c r="J381" s="95"/>
      <c r="K381" s="95"/>
      <c r="L381" s="95"/>
      <c r="M381" s="95"/>
      <c r="N381" s="81"/>
    </row>
    <row r="382" spans="1:14" ht="20">
      <c r="A382" s="87" t="s">
        <v>471</v>
      </c>
      <c r="B382" s="95">
        <v>0</v>
      </c>
      <c r="C382" s="95">
        <v>500</v>
      </c>
      <c r="D382" s="95">
        <v>800</v>
      </c>
      <c r="E382" s="95">
        <v>1200</v>
      </c>
      <c r="F382" s="95">
        <v>0</v>
      </c>
      <c r="G382" s="95">
        <v>500</v>
      </c>
      <c r="H382" s="143"/>
      <c r="I382" s="95">
        <v>1000</v>
      </c>
      <c r="J382" s="95">
        <v>1700</v>
      </c>
      <c r="K382" s="95">
        <v>2400</v>
      </c>
      <c r="L382" s="95">
        <v>3189.58</v>
      </c>
      <c r="M382" s="95"/>
      <c r="N382" s="81"/>
    </row>
    <row r="383" spans="1:14" ht="20">
      <c r="A383" s="87" t="s">
        <v>472</v>
      </c>
      <c r="B383" s="95">
        <v>0</v>
      </c>
      <c r="C383" s="95">
        <v>3375</v>
      </c>
      <c r="D383" s="95">
        <v>0</v>
      </c>
      <c r="E383" s="95">
        <v>0</v>
      </c>
      <c r="F383" s="95">
        <v>0</v>
      </c>
      <c r="G383" s="95">
        <v>4487.5</v>
      </c>
      <c r="H383" s="143"/>
      <c r="I383" s="95"/>
      <c r="J383" s="95">
        <v>600</v>
      </c>
      <c r="K383" s="95">
        <v>1500</v>
      </c>
      <c r="L383" s="95"/>
      <c r="M383" s="95"/>
      <c r="N383" s="81"/>
    </row>
    <row r="384" spans="1:14" ht="20">
      <c r="A384" s="87" t="s">
        <v>473</v>
      </c>
      <c r="B384" s="95">
        <v>0</v>
      </c>
      <c r="C384" s="95">
        <v>257.49</v>
      </c>
      <c r="D384" s="95">
        <v>0</v>
      </c>
      <c r="E384" s="95">
        <v>0</v>
      </c>
      <c r="F384" s="95">
        <v>3150</v>
      </c>
      <c r="G384" s="95">
        <v>0</v>
      </c>
      <c r="H384" s="143"/>
      <c r="I384" s="95"/>
      <c r="J384" s="95">
        <v>3375</v>
      </c>
      <c r="K384" s="95"/>
      <c r="L384" s="95">
        <v>5637.5</v>
      </c>
      <c r="M384" s="95"/>
      <c r="N384" s="81"/>
    </row>
    <row r="385" spans="1:14" ht="22" customHeight="1">
      <c r="A385" s="87" t="s">
        <v>474</v>
      </c>
      <c r="B385" s="95">
        <v>0</v>
      </c>
      <c r="C385" s="95">
        <v>0</v>
      </c>
      <c r="D385" s="95">
        <v>0</v>
      </c>
      <c r="E385" s="95">
        <v>0</v>
      </c>
      <c r="F385" s="95">
        <v>5600</v>
      </c>
      <c r="G385" s="95">
        <v>0</v>
      </c>
      <c r="H385" s="143"/>
      <c r="I385" s="95"/>
      <c r="J385" s="95">
        <v>1350</v>
      </c>
      <c r="K385" s="95">
        <v>1150</v>
      </c>
      <c r="L385" s="95"/>
      <c r="M385" s="95">
        <v>5890</v>
      </c>
      <c r="N385" s="81"/>
    </row>
    <row r="386" spans="1:14" ht="20">
      <c r="A386" s="97" t="s">
        <v>197</v>
      </c>
      <c r="B386" s="95"/>
      <c r="C386" s="95"/>
      <c r="D386" s="95"/>
      <c r="E386" s="95"/>
      <c r="F386" s="95"/>
      <c r="G386" s="95"/>
      <c r="H386" s="143"/>
      <c r="I386" s="95"/>
      <c r="J386" s="95"/>
      <c r="K386" s="95"/>
      <c r="L386" s="95"/>
      <c r="M386" s="95"/>
      <c r="N386" s="81"/>
    </row>
    <row r="387" spans="1:14" ht="20">
      <c r="A387" s="94" t="s">
        <v>198</v>
      </c>
      <c r="B387" s="95">
        <v>0</v>
      </c>
      <c r="C387" s="95">
        <v>0</v>
      </c>
      <c r="D387" s="95">
        <v>0</v>
      </c>
      <c r="E387" s="95">
        <v>0</v>
      </c>
      <c r="F387" s="95">
        <v>0</v>
      </c>
      <c r="G387" s="95">
        <v>0</v>
      </c>
      <c r="H387" s="143"/>
      <c r="I387" s="95"/>
      <c r="J387" s="95"/>
      <c r="K387" s="95">
        <v>785.92</v>
      </c>
      <c r="L387" s="95">
        <v>1978.99</v>
      </c>
      <c r="M387" s="95"/>
      <c r="N387" s="81"/>
    </row>
    <row r="388" spans="1:14" ht="20">
      <c r="A388" s="94" t="s">
        <v>199</v>
      </c>
      <c r="B388" s="95">
        <v>0</v>
      </c>
      <c r="C388" s="95">
        <v>64.37</v>
      </c>
      <c r="D388" s="95">
        <v>0</v>
      </c>
      <c r="E388" s="95">
        <v>0</v>
      </c>
      <c r="F388" s="95">
        <v>0</v>
      </c>
      <c r="G388" s="95">
        <v>0</v>
      </c>
      <c r="H388" s="143"/>
      <c r="I388" s="95"/>
      <c r="J388" s="95"/>
      <c r="K388" s="95"/>
      <c r="L388" s="95"/>
      <c r="M388" s="95"/>
      <c r="N388" s="81"/>
    </row>
    <row r="389" spans="1:14" ht="20">
      <c r="A389" s="94" t="s">
        <v>200</v>
      </c>
      <c r="B389" s="95">
        <v>650</v>
      </c>
      <c r="C389" s="95">
        <v>0</v>
      </c>
      <c r="D389" s="95">
        <v>0</v>
      </c>
      <c r="E389" s="95">
        <v>0</v>
      </c>
      <c r="F389" s="95">
        <v>0</v>
      </c>
      <c r="G389" s="95">
        <v>0</v>
      </c>
      <c r="H389" s="143"/>
      <c r="I389" s="95"/>
      <c r="J389" s="95"/>
      <c r="K389" s="95"/>
      <c r="L389" s="95"/>
      <c r="M389" s="95"/>
      <c r="N389" s="81"/>
    </row>
    <row r="390" spans="1:14" ht="20">
      <c r="A390" s="94" t="s">
        <v>201</v>
      </c>
      <c r="B390" s="95">
        <v>0</v>
      </c>
      <c r="C390" s="95">
        <v>0</v>
      </c>
      <c r="D390" s="95">
        <v>5907</v>
      </c>
      <c r="E390" s="95">
        <v>0</v>
      </c>
      <c r="F390" s="95">
        <v>0</v>
      </c>
      <c r="G390" s="95">
        <v>0</v>
      </c>
      <c r="H390" s="143"/>
      <c r="I390" s="95"/>
      <c r="J390" s="95"/>
      <c r="K390" s="95"/>
      <c r="L390" s="95"/>
      <c r="M390" s="95"/>
      <c r="N390" s="81"/>
    </row>
    <row r="391" spans="1:14" ht="20">
      <c r="A391" s="94" t="s">
        <v>202</v>
      </c>
      <c r="B391" s="95">
        <v>0</v>
      </c>
      <c r="C391" s="95">
        <v>0</v>
      </c>
      <c r="D391" s="95">
        <v>726</v>
      </c>
      <c r="E391" s="95">
        <v>774</v>
      </c>
      <c r="F391" s="95">
        <v>0</v>
      </c>
      <c r="G391" s="95">
        <v>0</v>
      </c>
      <c r="H391" s="143"/>
      <c r="I391" s="95"/>
      <c r="J391" s="95"/>
      <c r="K391" s="95"/>
      <c r="L391" s="95"/>
      <c r="M391" s="95"/>
      <c r="N391" s="81"/>
    </row>
    <row r="392" spans="1:14" ht="20">
      <c r="A392" s="94" t="s">
        <v>203</v>
      </c>
      <c r="B392" s="95"/>
      <c r="C392" s="95"/>
      <c r="D392" s="95"/>
      <c r="E392" s="95"/>
      <c r="F392" s="95"/>
      <c r="G392" s="95"/>
      <c r="H392" s="143"/>
      <c r="I392" s="95"/>
      <c r="J392" s="95"/>
      <c r="K392" s="95"/>
      <c r="L392" s="95"/>
      <c r="M392" s="95"/>
      <c r="N392" s="81"/>
    </row>
    <row r="393" spans="1:14" ht="22" customHeight="1">
      <c r="A393" s="87" t="s">
        <v>475</v>
      </c>
      <c r="B393" s="95"/>
      <c r="C393" s="95"/>
      <c r="D393" s="95"/>
      <c r="E393" s="95"/>
      <c r="F393" s="95"/>
      <c r="G393" s="95"/>
      <c r="H393" s="143"/>
      <c r="I393" s="95"/>
      <c r="J393" s="95"/>
      <c r="K393" s="95"/>
      <c r="L393" s="95"/>
      <c r="M393" s="95"/>
      <c r="N393" s="81"/>
    </row>
    <row r="394" spans="1:14" ht="22" customHeight="1">
      <c r="A394" s="87" t="s">
        <v>476</v>
      </c>
      <c r="B394" s="95">
        <v>446.38</v>
      </c>
      <c r="C394" s="95">
        <v>446.4</v>
      </c>
      <c r="D394" s="95">
        <v>0</v>
      </c>
      <c r="E394" s="95">
        <v>0</v>
      </c>
      <c r="F394" s="95">
        <v>441.87</v>
      </c>
      <c r="G394" s="95">
        <v>441.87</v>
      </c>
      <c r="H394" s="143">
        <v>441.87</v>
      </c>
      <c r="I394" s="95">
        <v>454.68</v>
      </c>
      <c r="J394" s="95">
        <v>441.87</v>
      </c>
      <c r="K394" s="95">
        <v>441.87</v>
      </c>
      <c r="L394" s="95">
        <v>441.87</v>
      </c>
      <c r="M394" s="95">
        <v>441.87</v>
      </c>
      <c r="N394" s="81"/>
    </row>
    <row r="395" spans="1:14" ht="21" customHeight="1">
      <c r="A395" s="87" t="s">
        <v>477</v>
      </c>
      <c r="B395" s="95"/>
      <c r="C395" s="95"/>
      <c r="D395" s="95"/>
      <c r="E395" s="95"/>
      <c r="F395" s="95"/>
      <c r="G395" s="95"/>
      <c r="H395" s="143"/>
      <c r="I395" s="95"/>
      <c r="J395" s="95"/>
      <c r="K395" s="95"/>
      <c r="L395" s="95"/>
      <c r="M395" s="95"/>
      <c r="N395" s="106"/>
    </row>
    <row r="396" spans="1:14" ht="21" customHeight="1">
      <c r="A396" s="87" t="s">
        <v>478</v>
      </c>
      <c r="B396" s="95"/>
      <c r="C396" s="95"/>
      <c r="D396" s="95"/>
      <c r="E396" s="95"/>
      <c r="F396" s="95"/>
      <c r="G396" s="95"/>
      <c r="H396" s="143">
        <v>1934</v>
      </c>
      <c r="I396" s="95">
        <v>1934</v>
      </c>
      <c r="J396" s="95">
        <v>1934</v>
      </c>
      <c r="K396" s="95">
        <v>1934</v>
      </c>
      <c r="L396" s="95">
        <v>1934</v>
      </c>
      <c r="M396" s="95"/>
      <c r="N396" s="106"/>
    </row>
    <row r="397" spans="1:14" ht="21" customHeight="1">
      <c r="A397" s="82" t="s">
        <v>479</v>
      </c>
      <c r="B397" s="95">
        <v>0</v>
      </c>
      <c r="C397" s="95">
        <v>0</v>
      </c>
      <c r="D397" s="95">
        <v>0</v>
      </c>
      <c r="E397" s="95">
        <v>0</v>
      </c>
      <c r="F397" s="95">
        <v>0</v>
      </c>
      <c r="G397" s="95">
        <v>400</v>
      </c>
      <c r="H397" s="143"/>
      <c r="I397" s="95"/>
      <c r="J397" s="95"/>
      <c r="K397" s="95"/>
      <c r="L397" s="95"/>
      <c r="M397" s="95"/>
      <c r="N397" s="106"/>
    </row>
    <row r="398" spans="1:14" ht="21" customHeight="1">
      <c r="A398" s="82" t="s">
        <v>480</v>
      </c>
      <c r="B398" s="95">
        <v>0</v>
      </c>
      <c r="C398" s="95">
        <v>0</v>
      </c>
      <c r="D398" s="95">
        <v>1000</v>
      </c>
      <c r="E398" s="95">
        <v>0</v>
      </c>
      <c r="F398" s="95">
        <v>1000</v>
      </c>
      <c r="G398" s="95">
        <v>0</v>
      </c>
      <c r="H398" s="143"/>
      <c r="I398" s="95"/>
      <c r="J398" s="95">
        <v>1500</v>
      </c>
      <c r="K398" s="95">
        <v>1000</v>
      </c>
      <c r="L398" s="95">
        <v>1000</v>
      </c>
      <c r="M398" s="95"/>
      <c r="N398" s="106"/>
    </row>
    <row r="399" spans="1:14" ht="21" customHeight="1">
      <c r="A399" s="82" t="s">
        <v>481</v>
      </c>
      <c r="B399" s="95">
        <v>0</v>
      </c>
      <c r="C399" s="95">
        <v>0</v>
      </c>
      <c r="D399" s="95">
        <v>1622.22</v>
      </c>
      <c r="E399" s="95">
        <v>0</v>
      </c>
      <c r="F399" s="95">
        <v>0</v>
      </c>
      <c r="G399" s="95">
        <v>0</v>
      </c>
      <c r="H399" s="143">
        <v>1730</v>
      </c>
      <c r="I399" s="95"/>
      <c r="J399" s="95"/>
      <c r="K399" s="95"/>
      <c r="L399" s="95"/>
      <c r="M399" s="95"/>
      <c r="N399" s="106"/>
    </row>
    <row r="400" spans="1:14" ht="21" customHeight="1">
      <c r="A400" s="82" t="s">
        <v>482</v>
      </c>
      <c r="B400" s="95">
        <v>0</v>
      </c>
      <c r="C400" s="95">
        <v>0</v>
      </c>
      <c r="D400" s="95">
        <v>0</v>
      </c>
      <c r="E400" s="95">
        <v>8000</v>
      </c>
      <c r="F400" s="95">
        <v>3400</v>
      </c>
      <c r="G400" s="95">
        <v>0</v>
      </c>
      <c r="H400" s="143"/>
      <c r="I400" s="95"/>
      <c r="J400" s="95"/>
      <c r="K400" s="113">
        <v>2500</v>
      </c>
      <c r="L400" s="95"/>
      <c r="M400" s="95"/>
      <c r="N400" s="106"/>
    </row>
    <row r="401" spans="1:14" ht="21" customHeight="1">
      <c r="A401" s="82" t="s">
        <v>483</v>
      </c>
      <c r="B401" s="95"/>
      <c r="C401" s="95"/>
      <c r="D401" s="95"/>
      <c r="E401" s="95"/>
      <c r="F401" s="95"/>
      <c r="G401" s="95"/>
      <c r="H401" s="143"/>
      <c r="I401" s="95"/>
      <c r="J401" s="95"/>
      <c r="K401" s="95"/>
      <c r="L401" s="95"/>
      <c r="M401" s="95"/>
      <c r="N401" s="106"/>
    </row>
    <row r="402" spans="1:14" ht="22" customHeight="1">
      <c r="A402" s="98" t="s">
        <v>60</v>
      </c>
      <c r="B402" s="95"/>
      <c r="C402" s="95"/>
      <c r="D402" s="80"/>
      <c r="E402" s="95"/>
      <c r="F402" s="95"/>
      <c r="G402" s="95"/>
      <c r="H402" s="143"/>
      <c r="I402" s="95"/>
      <c r="J402" s="95"/>
      <c r="K402" s="95">
        <v>756.45</v>
      </c>
      <c r="L402" s="95"/>
      <c r="M402" s="95">
        <v>141.01</v>
      </c>
      <c r="N402" s="106"/>
    </row>
    <row r="403" spans="1:14" ht="20" customHeight="1">
      <c r="A403" s="97" t="s">
        <v>484</v>
      </c>
      <c r="B403" s="95"/>
      <c r="C403" s="95"/>
      <c r="D403" s="95"/>
      <c r="E403" s="95"/>
      <c r="F403" s="95"/>
      <c r="G403" s="95"/>
      <c r="H403" s="143"/>
      <c r="I403" s="95"/>
      <c r="J403" s="95"/>
      <c r="K403" s="95"/>
      <c r="L403" s="95"/>
      <c r="M403" s="95"/>
      <c r="N403" s="81"/>
    </row>
    <row r="404" spans="1:14" ht="20" customHeight="1">
      <c r="A404" s="94" t="s">
        <v>485</v>
      </c>
      <c r="B404" s="95">
        <v>1897</v>
      </c>
      <c r="C404" s="95">
        <v>1897</v>
      </c>
      <c r="D404" s="95">
        <v>2497</v>
      </c>
      <c r="E404" s="95">
        <v>2097</v>
      </c>
      <c r="F404" s="95">
        <v>2097</v>
      </c>
      <c r="G404" s="95">
        <v>2097</v>
      </c>
      <c r="H404" s="143">
        <v>2097</v>
      </c>
      <c r="I404" s="95">
        <v>2097</v>
      </c>
      <c r="J404" s="95">
        <v>2097</v>
      </c>
      <c r="K404" s="95">
        <v>2097</v>
      </c>
      <c r="L404" s="95">
        <v>2097</v>
      </c>
      <c r="M404" s="95">
        <v>2097</v>
      </c>
      <c r="N404" s="81"/>
    </row>
    <row r="405" spans="1:14" ht="20" customHeight="1">
      <c r="A405" s="94" t="s">
        <v>486</v>
      </c>
      <c r="B405" s="95">
        <v>0</v>
      </c>
      <c r="C405" s="95">
        <v>800</v>
      </c>
      <c r="D405" s="95">
        <v>400</v>
      </c>
      <c r="E405" s="95">
        <v>400</v>
      </c>
      <c r="F405" s="95">
        <v>400</v>
      </c>
      <c r="G405" s="95">
        <v>400</v>
      </c>
      <c r="H405" s="143">
        <v>400</v>
      </c>
      <c r="I405" s="95">
        <v>400</v>
      </c>
      <c r="J405" s="95">
        <v>400</v>
      </c>
      <c r="K405" s="95">
        <v>400</v>
      </c>
      <c r="L405" s="95">
        <v>400</v>
      </c>
      <c r="M405" s="95">
        <v>400</v>
      </c>
      <c r="N405" s="81"/>
    </row>
    <row r="406" spans="1:14" ht="21" customHeight="1">
      <c r="A406" s="94" t="s">
        <v>487</v>
      </c>
      <c r="B406" s="95"/>
      <c r="C406" s="95"/>
      <c r="D406" s="95"/>
      <c r="E406" s="95"/>
      <c r="F406" s="95"/>
      <c r="G406" s="95"/>
      <c r="H406" s="143"/>
      <c r="I406" s="95"/>
      <c r="J406" s="95"/>
      <c r="K406" s="95"/>
      <c r="L406" s="95"/>
      <c r="M406" s="95"/>
      <c r="N406" s="81"/>
    </row>
    <row r="407" spans="1:14" ht="20">
      <c r="A407" s="87" t="s">
        <v>488</v>
      </c>
      <c r="B407" s="81">
        <f>SUM(B360:B406)</f>
        <v>3183.38</v>
      </c>
      <c r="C407" s="81">
        <f t="shared" ref="C407:M407" si="7">SUM(C360:C406)</f>
        <v>14256.92</v>
      </c>
      <c r="D407" s="81">
        <f t="shared" si="7"/>
        <v>26952.739999999998</v>
      </c>
      <c r="E407" s="81">
        <f t="shared" si="7"/>
        <v>17111</v>
      </c>
      <c r="F407" s="81">
        <f>SUM(F360:F406)</f>
        <v>22278.870000000003</v>
      </c>
      <c r="G407" s="81">
        <f t="shared" si="7"/>
        <v>15726.37</v>
      </c>
      <c r="H407" s="145">
        <f t="shared" si="7"/>
        <v>16767.2</v>
      </c>
      <c r="I407" s="81">
        <f t="shared" si="7"/>
        <v>9435.68</v>
      </c>
      <c r="J407" s="81">
        <f t="shared" si="7"/>
        <v>22097.870000000003</v>
      </c>
      <c r="K407" s="81">
        <f t="shared" si="7"/>
        <v>19225.800000000003</v>
      </c>
      <c r="L407" s="81">
        <f t="shared" si="7"/>
        <v>16678.940000000002</v>
      </c>
      <c r="M407" s="81">
        <f t="shared" si="7"/>
        <v>13067.150000000001</v>
      </c>
      <c r="N407" s="120">
        <f>SUM(B407:M407)</f>
        <v>196781.92</v>
      </c>
    </row>
    <row r="408" spans="1:14" s="68" customFormat="1" ht="22">
      <c r="A408" s="76" t="s">
        <v>123</v>
      </c>
      <c r="B408" s="86"/>
      <c r="C408" s="86"/>
      <c r="D408" s="86"/>
      <c r="E408" s="86"/>
      <c r="F408" s="86"/>
      <c r="G408" s="86"/>
      <c r="H408" s="147"/>
      <c r="I408" s="86"/>
      <c r="J408" s="86"/>
      <c r="K408" s="86"/>
      <c r="L408" s="86"/>
      <c r="M408" s="86"/>
      <c r="N408" s="72"/>
    </row>
    <row r="409" spans="1:14" s="68" customFormat="1" ht="20">
      <c r="A409" s="82" t="s">
        <v>124</v>
      </c>
      <c r="B409" s="80">
        <v>1500</v>
      </c>
      <c r="C409" s="80">
        <v>1500</v>
      </c>
      <c r="D409" s="80">
        <v>1500</v>
      </c>
      <c r="E409" s="80">
        <v>1600</v>
      </c>
      <c r="F409" s="80">
        <v>1600</v>
      </c>
      <c r="G409" s="80">
        <v>1600</v>
      </c>
      <c r="H409" s="147">
        <v>1600</v>
      </c>
      <c r="I409" s="80">
        <v>1600</v>
      </c>
      <c r="J409" s="80">
        <v>1600</v>
      </c>
      <c r="K409" s="80">
        <v>1600</v>
      </c>
      <c r="L409" s="80">
        <v>1600</v>
      </c>
      <c r="M409" s="80">
        <v>3200</v>
      </c>
      <c r="N409" s="72"/>
    </row>
    <row r="410" spans="1:14" s="68" customFormat="1" ht="20">
      <c r="A410" s="82" t="s">
        <v>125</v>
      </c>
      <c r="B410" s="80">
        <v>500</v>
      </c>
      <c r="C410" s="80">
        <v>500</v>
      </c>
      <c r="D410" s="80">
        <v>500</v>
      </c>
      <c r="E410" s="80">
        <v>500</v>
      </c>
      <c r="F410" s="80">
        <v>500</v>
      </c>
      <c r="G410" s="80">
        <v>500</v>
      </c>
      <c r="H410" s="147">
        <v>500</v>
      </c>
      <c r="I410" s="80">
        <v>500</v>
      </c>
      <c r="J410" s="80">
        <v>500</v>
      </c>
      <c r="K410" s="80">
        <v>500</v>
      </c>
      <c r="L410" s="80">
        <v>500</v>
      </c>
      <c r="M410" s="80">
        <v>1000</v>
      </c>
      <c r="N410" s="72"/>
    </row>
    <row r="411" spans="1:14" s="68" customFormat="1" ht="20">
      <c r="A411" s="82" t="s">
        <v>126</v>
      </c>
      <c r="B411" s="80">
        <v>1500</v>
      </c>
      <c r="C411" s="80">
        <v>1500</v>
      </c>
      <c r="D411" s="80">
        <v>1500</v>
      </c>
      <c r="E411" s="80">
        <v>1600</v>
      </c>
      <c r="F411" s="80">
        <v>1600</v>
      </c>
      <c r="G411" s="80">
        <v>1600</v>
      </c>
      <c r="H411" s="147">
        <v>1600</v>
      </c>
      <c r="I411" s="80">
        <v>1600</v>
      </c>
      <c r="J411" s="80">
        <v>1600</v>
      </c>
      <c r="K411" s="80">
        <v>1600</v>
      </c>
      <c r="L411" s="80">
        <v>1600</v>
      </c>
      <c r="M411" s="80">
        <v>3200</v>
      </c>
      <c r="N411" s="72"/>
    </row>
    <row r="412" spans="1:14" s="68" customFormat="1" ht="20">
      <c r="A412" s="82" t="s">
        <v>127</v>
      </c>
      <c r="B412" s="80">
        <v>10200.620000000001</v>
      </c>
      <c r="C412" s="80">
        <v>10200.620000000001</v>
      </c>
      <c r="D412" s="80">
        <v>10200.620000000001</v>
      </c>
      <c r="E412" s="80">
        <v>10200.620000000001</v>
      </c>
      <c r="F412" s="80">
        <v>11200.62</v>
      </c>
      <c r="G412" s="80">
        <v>10200.620000000001</v>
      </c>
      <c r="H412" s="147">
        <v>10200.620000000001</v>
      </c>
      <c r="I412" s="80">
        <v>10200.620000000001</v>
      </c>
      <c r="J412" s="80">
        <v>10200.620000000001</v>
      </c>
      <c r="K412" s="80">
        <v>10200.620000000001</v>
      </c>
      <c r="L412" s="80">
        <v>10200.620000000001</v>
      </c>
      <c r="M412" s="80">
        <v>20404.11</v>
      </c>
      <c r="N412" s="72"/>
    </row>
    <row r="413" spans="1:14" s="68" customFormat="1" ht="20">
      <c r="A413" s="83" t="s">
        <v>128</v>
      </c>
      <c r="B413" s="85">
        <f>SUM(B409:B412)</f>
        <v>13700.62</v>
      </c>
      <c r="C413" s="85">
        <f t="shared" ref="C413:M413" si="8">SUM(C409:C412)</f>
        <v>13700.62</v>
      </c>
      <c r="D413" s="85">
        <f t="shared" si="8"/>
        <v>13700.62</v>
      </c>
      <c r="E413" s="85">
        <f t="shared" si="8"/>
        <v>13900.62</v>
      </c>
      <c r="F413" s="85">
        <f t="shared" si="8"/>
        <v>14900.62</v>
      </c>
      <c r="G413" s="85">
        <f t="shared" si="8"/>
        <v>13900.62</v>
      </c>
      <c r="H413" s="145">
        <f t="shared" si="8"/>
        <v>13900.62</v>
      </c>
      <c r="I413" s="85">
        <f t="shared" si="8"/>
        <v>13900.62</v>
      </c>
      <c r="J413" s="85">
        <f t="shared" si="8"/>
        <v>13900.62</v>
      </c>
      <c r="K413" s="85">
        <f t="shared" si="8"/>
        <v>13900.62</v>
      </c>
      <c r="L413" s="85">
        <f t="shared" si="8"/>
        <v>13900.62</v>
      </c>
      <c r="M413" s="85">
        <f t="shared" si="8"/>
        <v>27804.11</v>
      </c>
      <c r="N413" s="85">
        <f>SUM(B413:M413)</f>
        <v>181110.93</v>
      </c>
    </row>
    <row r="414" spans="1:14" ht="35" customHeight="1">
      <c r="A414" s="139" t="s">
        <v>489</v>
      </c>
      <c r="B414" s="95"/>
      <c r="C414" s="95"/>
      <c r="D414" s="95"/>
      <c r="E414" s="95"/>
      <c r="F414" s="95"/>
      <c r="G414" s="95"/>
      <c r="H414" s="143"/>
      <c r="I414" s="95"/>
      <c r="J414" s="95"/>
      <c r="K414" s="95"/>
      <c r="L414" s="95"/>
      <c r="M414" s="95"/>
      <c r="N414" s="106"/>
    </row>
    <row r="415" spans="1:14" ht="19">
      <c r="A415" s="100" t="s">
        <v>178</v>
      </c>
      <c r="B415" s="95"/>
      <c r="C415" s="95"/>
      <c r="D415" s="95"/>
      <c r="E415" s="95"/>
      <c r="F415" s="95"/>
      <c r="G415" s="95"/>
      <c r="H415" s="143"/>
      <c r="I415" s="95"/>
      <c r="J415" s="95"/>
      <c r="K415" s="95"/>
      <c r="L415" s="95"/>
      <c r="M415" s="95"/>
      <c r="N415" s="106"/>
    </row>
    <row r="416" spans="1:14" ht="20">
      <c r="A416" s="94" t="s">
        <v>179</v>
      </c>
      <c r="B416" s="95"/>
      <c r="C416" s="95"/>
      <c r="D416" s="95">
        <v>2000</v>
      </c>
      <c r="E416" s="95"/>
      <c r="F416" s="95"/>
      <c r="G416" s="95"/>
      <c r="H416" s="143"/>
      <c r="I416" s="95"/>
      <c r="J416" s="95"/>
      <c r="K416" s="95"/>
      <c r="L416" s="95"/>
      <c r="M416" s="95"/>
      <c r="N416" s="81"/>
    </row>
    <row r="417" spans="1:14" ht="20">
      <c r="A417" s="94" t="s">
        <v>61</v>
      </c>
      <c r="B417" s="95">
        <v>365</v>
      </c>
      <c r="C417" s="95">
        <v>365</v>
      </c>
      <c r="D417" s="95">
        <v>379.6</v>
      </c>
      <c r="E417" s="95">
        <v>379.6</v>
      </c>
      <c r="F417" s="95">
        <v>379.6</v>
      </c>
      <c r="G417" s="95">
        <v>379.6</v>
      </c>
      <c r="H417" s="143">
        <v>379.6</v>
      </c>
      <c r="I417" s="95">
        <v>379.6</v>
      </c>
      <c r="J417" s="95">
        <v>379.6</v>
      </c>
      <c r="K417" s="95">
        <v>379.6</v>
      </c>
      <c r="L417" s="95">
        <v>379.6</v>
      </c>
      <c r="M417" s="95">
        <v>379.6</v>
      </c>
      <c r="N417" s="81"/>
    </row>
    <row r="418" spans="1:14" ht="20">
      <c r="A418" s="94" t="s">
        <v>180</v>
      </c>
      <c r="B418" s="95">
        <v>525.03</v>
      </c>
      <c r="C418" s="95">
        <v>525.03</v>
      </c>
      <c r="D418" s="95">
        <v>525.03</v>
      </c>
      <c r="E418" s="95">
        <v>525.03</v>
      </c>
      <c r="F418" s="95">
        <v>525.05999999999995</v>
      </c>
      <c r="G418" s="95">
        <v>585.41</v>
      </c>
      <c r="H418" s="143">
        <v>585.41</v>
      </c>
      <c r="I418" s="95">
        <v>585.41</v>
      </c>
      <c r="J418" s="95">
        <v>585.41</v>
      </c>
      <c r="K418" s="95">
        <v>585.41</v>
      </c>
      <c r="L418" s="95">
        <v>585.41</v>
      </c>
      <c r="M418" s="95">
        <v>585.41</v>
      </c>
      <c r="N418" s="81"/>
    </row>
    <row r="419" spans="1:14" ht="20">
      <c r="A419" s="94" t="s">
        <v>181</v>
      </c>
      <c r="B419" s="95">
        <v>2860.57</v>
      </c>
      <c r="C419" s="95">
        <v>2865.99</v>
      </c>
      <c r="D419" s="95">
        <v>2967.89</v>
      </c>
      <c r="E419" s="95">
        <v>1967.89</v>
      </c>
      <c r="F419" s="95">
        <v>2983.79</v>
      </c>
      <c r="G419" s="95">
        <v>1983.79</v>
      </c>
      <c r="H419" s="143">
        <v>2983.79</v>
      </c>
      <c r="I419" s="95">
        <v>2983.79</v>
      </c>
      <c r="J419" s="95">
        <v>2983.79</v>
      </c>
      <c r="K419" s="95">
        <v>2983.79</v>
      </c>
      <c r="L419" s="95">
        <v>2983.79</v>
      </c>
      <c r="M419" s="95">
        <v>2983.79</v>
      </c>
      <c r="N419" s="81"/>
    </row>
    <row r="420" spans="1:14" ht="20">
      <c r="A420" s="94" t="s">
        <v>182</v>
      </c>
      <c r="B420" s="95">
        <v>578.6</v>
      </c>
      <c r="C420" s="95">
        <v>578.6</v>
      </c>
      <c r="D420" s="95">
        <v>601.12</v>
      </c>
      <c r="E420" s="95">
        <v>601.12</v>
      </c>
      <c r="F420" s="95">
        <v>601.12</v>
      </c>
      <c r="G420" s="95">
        <v>601.12</v>
      </c>
      <c r="H420" s="143">
        <v>601.12</v>
      </c>
      <c r="I420" s="95">
        <v>601.12</v>
      </c>
      <c r="J420" s="95">
        <v>601.12</v>
      </c>
      <c r="K420" s="95">
        <v>601.12</v>
      </c>
      <c r="L420" s="95">
        <v>601.12</v>
      </c>
      <c r="M420" s="95">
        <v>601.12</v>
      </c>
      <c r="N420" s="81"/>
    </row>
    <row r="421" spans="1:14" ht="20">
      <c r="A421" s="94" t="s">
        <v>147</v>
      </c>
      <c r="B421" s="95">
        <v>0</v>
      </c>
      <c r="C421" s="95">
        <v>0</v>
      </c>
      <c r="D421" s="95">
        <v>0</v>
      </c>
      <c r="E421" s="95">
        <v>0</v>
      </c>
      <c r="F421" s="95"/>
      <c r="G421" s="95"/>
      <c r="H421" s="143"/>
      <c r="I421" s="95"/>
      <c r="J421" s="95"/>
      <c r="K421" s="95">
        <v>3798.16</v>
      </c>
      <c r="L421" s="95"/>
      <c r="M421" s="95"/>
      <c r="N421" s="81"/>
    </row>
    <row r="422" spans="1:14" ht="20">
      <c r="A422" s="94" t="s">
        <v>146</v>
      </c>
      <c r="B422" s="95">
        <v>0</v>
      </c>
      <c r="C422" s="95">
        <v>0</v>
      </c>
      <c r="D422" s="95">
        <v>0</v>
      </c>
      <c r="E422" s="95">
        <v>0</v>
      </c>
      <c r="F422" s="95"/>
      <c r="G422" s="95"/>
      <c r="H422" s="143"/>
      <c r="I422" s="95"/>
      <c r="J422" s="95"/>
      <c r="K422" s="95"/>
      <c r="L422" s="95">
        <v>1645.65</v>
      </c>
      <c r="M422" s="95">
        <v>1338.14</v>
      </c>
      <c r="N422" s="81"/>
    </row>
    <row r="423" spans="1:14" ht="20">
      <c r="A423" s="97" t="s">
        <v>183</v>
      </c>
      <c r="B423" s="80"/>
      <c r="C423" s="80"/>
      <c r="D423" s="80"/>
      <c r="E423" s="95"/>
      <c r="F423" s="95"/>
      <c r="G423" s="95"/>
      <c r="H423" s="143"/>
      <c r="I423" s="95"/>
      <c r="J423" s="95"/>
      <c r="K423" s="95"/>
      <c r="L423" s="95"/>
      <c r="M423" s="95"/>
      <c r="N423" s="81"/>
    </row>
    <row r="424" spans="1:14" ht="19">
      <c r="B424" s="95"/>
      <c r="C424" s="95"/>
      <c r="D424" s="95"/>
      <c r="E424" s="95"/>
      <c r="F424" s="95"/>
      <c r="G424" s="95"/>
      <c r="H424" s="143"/>
      <c r="I424" s="95"/>
      <c r="J424" s="95"/>
      <c r="K424" s="95"/>
      <c r="L424" s="95"/>
      <c r="M424" s="95"/>
      <c r="N424" s="106"/>
    </row>
    <row r="425" spans="1:14" ht="19">
      <c r="A425" s="99"/>
      <c r="B425" s="95"/>
      <c r="C425" s="95"/>
      <c r="D425" s="95"/>
      <c r="E425" s="95"/>
      <c r="F425" s="95"/>
      <c r="G425" s="95"/>
      <c r="H425" s="143"/>
      <c r="I425" s="95"/>
      <c r="J425" s="95"/>
      <c r="K425" s="95"/>
      <c r="L425" s="95"/>
      <c r="M425" s="95"/>
      <c r="N425" s="106"/>
    </row>
    <row r="426" spans="1:14" ht="19">
      <c r="A426" s="100" t="s">
        <v>184</v>
      </c>
      <c r="B426" s="95">
        <v>0</v>
      </c>
      <c r="C426" s="95">
        <v>0</v>
      </c>
      <c r="D426" s="95">
        <v>0</v>
      </c>
      <c r="E426" s="95">
        <v>0</v>
      </c>
      <c r="F426" s="95">
        <v>0</v>
      </c>
      <c r="G426" s="95">
        <v>500</v>
      </c>
      <c r="H426" s="143"/>
      <c r="I426" s="95"/>
      <c r="J426" s="95"/>
      <c r="K426" s="95"/>
      <c r="L426" s="95"/>
      <c r="M426" s="95"/>
      <c r="N426" s="106"/>
    </row>
    <row r="427" spans="1:14" ht="20">
      <c r="A427" s="94" t="s">
        <v>179</v>
      </c>
      <c r="B427" s="95">
        <v>365</v>
      </c>
      <c r="C427" s="95">
        <v>365</v>
      </c>
      <c r="D427" s="95">
        <v>379.6</v>
      </c>
      <c r="E427" s="95">
        <v>379.6</v>
      </c>
      <c r="F427" s="95">
        <v>379.6</v>
      </c>
      <c r="G427" s="95">
        <v>379.6</v>
      </c>
      <c r="H427" s="143">
        <v>379.6</v>
      </c>
      <c r="I427" s="95">
        <v>379.6</v>
      </c>
      <c r="J427" s="95">
        <v>379.6</v>
      </c>
      <c r="K427" s="95">
        <v>379.6</v>
      </c>
      <c r="L427" s="95"/>
      <c r="M427" s="95"/>
      <c r="N427" s="81"/>
    </row>
    <row r="428" spans="1:14" ht="20">
      <c r="A428" s="94" t="s">
        <v>61</v>
      </c>
      <c r="B428" s="95">
        <v>525.03</v>
      </c>
      <c r="C428" s="95">
        <v>525.03</v>
      </c>
      <c r="D428" s="95">
        <v>525.03</v>
      </c>
      <c r="E428" s="95">
        <v>525.03</v>
      </c>
      <c r="F428" s="95">
        <v>525.03</v>
      </c>
      <c r="G428" s="95">
        <v>585.41</v>
      </c>
      <c r="H428" s="143">
        <v>585.41</v>
      </c>
      <c r="I428" s="95">
        <v>585.41</v>
      </c>
      <c r="J428" s="95">
        <v>585.41</v>
      </c>
      <c r="K428" s="95">
        <v>585.41</v>
      </c>
      <c r="L428" s="95"/>
      <c r="M428" s="95"/>
      <c r="N428" s="81"/>
    </row>
    <row r="429" spans="1:14" ht="20">
      <c r="A429" s="94" t="s">
        <v>180</v>
      </c>
      <c r="B429" s="95">
        <v>391.81</v>
      </c>
      <c r="C429" s="95">
        <v>2393.4</v>
      </c>
      <c r="D429" s="95">
        <v>810.79</v>
      </c>
      <c r="E429" s="95">
        <v>2488.6</v>
      </c>
      <c r="F429" s="95">
        <v>2488.6</v>
      </c>
      <c r="G429" s="95">
        <v>2488.6</v>
      </c>
      <c r="H429" s="143">
        <v>2488.6</v>
      </c>
      <c r="I429" s="95">
        <v>2488.6</v>
      </c>
      <c r="J429" s="95">
        <v>2538.02</v>
      </c>
      <c r="K429" s="95">
        <v>1988.6</v>
      </c>
      <c r="L429" s="95"/>
      <c r="M429" s="95"/>
      <c r="N429" s="81"/>
    </row>
    <row r="430" spans="1:14" ht="20">
      <c r="A430" s="94" t="s">
        <v>185</v>
      </c>
      <c r="B430" s="95">
        <v>578.6</v>
      </c>
      <c r="C430" s="95">
        <v>578.6</v>
      </c>
      <c r="D430" s="95">
        <v>601.12</v>
      </c>
      <c r="E430" s="95">
        <v>601.12</v>
      </c>
      <c r="F430" s="95">
        <v>601.12</v>
      </c>
      <c r="G430" s="95">
        <v>601.12</v>
      </c>
      <c r="H430" s="143">
        <v>601.12</v>
      </c>
      <c r="I430" s="95">
        <v>601.12</v>
      </c>
      <c r="J430" s="95">
        <v>601.12</v>
      </c>
      <c r="K430" s="95">
        <v>601.12</v>
      </c>
      <c r="L430" s="95"/>
      <c r="M430" s="95"/>
      <c r="N430" s="81"/>
    </row>
    <row r="431" spans="1:14" ht="20">
      <c r="A431" s="94" t="s">
        <v>186</v>
      </c>
      <c r="B431" s="95">
        <v>233.2</v>
      </c>
      <c r="C431" s="95">
        <v>264</v>
      </c>
      <c r="D431" s="95">
        <v>528</v>
      </c>
      <c r="E431" s="95">
        <v>0</v>
      </c>
      <c r="F431" s="95">
        <v>528</v>
      </c>
      <c r="G431" s="95">
        <v>0</v>
      </c>
      <c r="H431" s="143"/>
      <c r="I431" s="95">
        <v>242</v>
      </c>
      <c r="J431" s="95">
        <v>242</v>
      </c>
      <c r="K431" s="95">
        <v>566</v>
      </c>
      <c r="L431" s="95"/>
      <c r="M431" s="95"/>
      <c r="N431" s="81"/>
    </row>
    <row r="432" spans="1:14" ht="20">
      <c r="A432" s="94" t="s">
        <v>187</v>
      </c>
      <c r="B432" s="95">
        <v>3286.22</v>
      </c>
      <c r="C432" s="95">
        <v>0</v>
      </c>
      <c r="D432" s="95">
        <v>0</v>
      </c>
      <c r="E432" s="95">
        <v>0</v>
      </c>
      <c r="F432" s="95">
        <v>0</v>
      </c>
      <c r="G432" s="95">
        <v>0</v>
      </c>
      <c r="H432" s="143"/>
      <c r="I432" s="95"/>
      <c r="J432" s="95"/>
      <c r="K432" s="95"/>
      <c r="L432" s="95"/>
      <c r="M432" s="95"/>
      <c r="N432" s="81"/>
    </row>
    <row r="433" spans="1:14" ht="20">
      <c r="A433" s="94" t="s">
        <v>188</v>
      </c>
      <c r="B433" s="95"/>
      <c r="C433" s="95"/>
      <c r="D433" s="95"/>
      <c r="E433" s="95"/>
      <c r="F433" s="95"/>
      <c r="G433" s="95"/>
      <c r="H433" s="143"/>
      <c r="I433" s="95"/>
      <c r="J433" s="95"/>
      <c r="K433" s="95">
        <v>5097.08</v>
      </c>
      <c r="L433" s="95"/>
      <c r="M433" s="95"/>
      <c r="N433" s="81"/>
    </row>
    <row r="434" spans="1:14" ht="20">
      <c r="A434" s="94" t="s">
        <v>147</v>
      </c>
      <c r="B434" s="95">
        <v>1302.54</v>
      </c>
      <c r="C434" s="95">
        <v>0</v>
      </c>
      <c r="D434" s="95">
        <v>0</v>
      </c>
      <c r="E434" s="95">
        <v>0</v>
      </c>
      <c r="F434" s="95">
        <v>0</v>
      </c>
      <c r="G434" s="95">
        <v>0</v>
      </c>
      <c r="H434" s="143"/>
      <c r="I434" s="95"/>
      <c r="J434" s="95"/>
      <c r="K434" s="95"/>
      <c r="L434" s="95"/>
      <c r="M434" s="95"/>
      <c r="N434" s="81"/>
    </row>
    <row r="435" spans="1:14" ht="20">
      <c r="A435" s="94" t="s">
        <v>146</v>
      </c>
      <c r="B435" s="95"/>
      <c r="C435" s="95"/>
      <c r="D435" s="95"/>
      <c r="E435" s="95"/>
      <c r="F435" s="95"/>
      <c r="G435" s="95"/>
      <c r="H435" s="143"/>
      <c r="I435" s="95"/>
      <c r="J435" s="95"/>
      <c r="K435" s="95"/>
      <c r="L435" s="95"/>
      <c r="M435" s="95"/>
      <c r="N435" s="81"/>
    </row>
    <row r="436" spans="1:14" ht="20">
      <c r="A436" s="97" t="s">
        <v>189</v>
      </c>
      <c r="B436" s="95"/>
      <c r="C436" s="95"/>
      <c r="D436" s="95"/>
      <c r="E436" s="95"/>
      <c r="F436" s="95"/>
      <c r="G436" s="95"/>
      <c r="H436" s="143"/>
      <c r="I436" s="95"/>
      <c r="J436" s="95"/>
      <c r="K436" s="95"/>
      <c r="L436" s="95"/>
      <c r="M436" s="95"/>
      <c r="N436" s="106"/>
    </row>
    <row r="437" spans="1:14" ht="19">
      <c r="A437" s="99"/>
      <c r="B437" s="95"/>
      <c r="C437" s="95"/>
      <c r="D437" s="95"/>
      <c r="E437" s="95"/>
      <c r="F437" s="95"/>
      <c r="G437" s="95"/>
      <c r="H437" s="143"/>
      <c r="I437" s="95"/>
      <c r="J437" s="95"/>
      <c r="K437" s="95"/>
      <c r="L437" s="95"/>
      <c r="M437" s="95"/>
      <c r="N437" s="95"/>
    </row>
    <row r="438" spans="1:14" ht="19">
      <c r="A438" s="100" t="s">
        <v>190</v>
      </c>
      <c r="B438" s="95"/>
      <c r="C438" s="95"/>
      <c r="D438" s="95"/>
      <c r="E438" s="95"/>
      <c r="F438" s="95"/>
      <c r="G438" s="95"/>
      <c r="H438" s="143"/>
      <c r="I438" s="95"/>
      <c r="J438" s="95"/>
      <c r="K438" s="95"/>
      <c r="L438" s="95">
        <v>379.6</v>
      </c>
      <c r="M438" s="95">
        <v>379.6</v>
      </c>
      <c r="N438" s="81"/>
    </row>
    <row r="439" spans="1:14" ht="20">
      <c r="A439" s="94" t="s">
        <v>61</v>
      </c>
      <c r="B439" s="81"/>
      <c r="C439" s="81"/>
      <c r="D439" s="81"/>
      <c r="E439" s="81"/>
      <c r="F439" s="81"/>
      <c r="G439" s="81"/>
      <c r="H439" s="145"/>
      <c r="I439" s="81"/>
      <c r="J439" s="81"/>
      <c r="K439" s="81"/>
      <c r="L439" s="95">
        <v>585.41</v>
      </c>
      <c r="M439" s="95">
        <v>585.41</v>
      </c>
      <c r="N439" s="81"/>
    </row>
    <row r="440" spans="1:14" ht="20">
      <c r="A440" s="94" t="s">
        <v>180</v>
      </c>
      <c r="B440" s="81"/>
      <c r="C440" s="81"/>
      <c r="D440" s="81"/>
      <c r="E440" s="81"/>
      <c r="F440" s="81"/>
      <c r="G440" s="81"/>
      <c r="H440" s="145"/>
      <c r="I440" s="81"/>
      <c r="J440" s="81"/>
      <c r="K440" s="81"/>
      <c r="L440" s="95">
        <v>3886.49</v>
      </c>
      <c r="M440" s="95">
        <v>3511.84</v>
      </c>
      <c r="N440" s="81"/>
    </row>
    <row r="441" spans="1:14" ht="20">
      <c r="A441" s="94" t="s">
        <v>185</v>
      </c>
      <c r="B441" s="81"/>
      <c r="C441" s="81"/>
      <c r="D441" s="81"/>
      <c r="E441" s="81"/>
      <c r="F441" s="81"/>
      <c r="G441" s="81"/>
      <c r="H441" s="145"/>
      <c r="I441" s="81"/>
      <c r="J441" s="81"/>
      <c r="K441" s="81"/>
      <c r="L441" s="95">
        <v>601.12</v>
      </c>
      <c r="M441" s="95">
        <v>601.12</v>
      </c>
      <c r="N441" s="81"/>
    </row>
    <row r="442" spans="1:14" s="116" customFormat="1" ht="20">
      <c r="A442" s="94" t="s">
        <v>186</v>
      </c>
      <c r="B442" s="95"/>
      <c r="C442" s="95"/>
      <c r="D442" s="95"/>
      <c r="E442" s="95"/>
      <c r="F442" s="95"/>
      <c r="G442" s="95"/>
      <c r="H442" s="143"/>
      <c r="I442" s="95"/>
      <c r="J442" s="95"/>
      <c r="K442" s="95"/>
      <c r="L442" s="95"/>
      <c r="M442" s="95"/>
      <c r="N442" s="81"/>
    </row>
    <row r="443" spans="1:14" ht="20">
      <c r="A443" s="94" t="s">
        <v>146</v>
      </c>
      <c r="B443" s="81"/>
      <c r="C443" s="81"/>
      <c r="D443" s="81"/>
      <c r="E443" s="81"/>
      <c r="F443" s="81"/>
      <c r="G443" s="81"/>
      <c r="H443" s="145"/>
      <c r="I443" s="81"/>
      <c r="J443" s="81"/>
      <c r="K443" s="81"/>
      <c r="L443" s="95">
        <v>500</v>
      </c>
      <c r="M443" s="95">
        <v>425</v>
      </c>
      <c r="N443" s="81"/>
    </row>
    <row r="444" spans="1:14" ht="19">
      <c r="B444" s="95"/>
      <c r="C444" s="95"/>
      <c r="D444" s="95"/>
      <c r="E444" s="95"/>
      <c r="F444" s="95"/>
      <c r="G444" s="95"/>
      <c r="H444" s="143"/>
      <c r="I444" s="95"/>
      <c r="J444" s="95"/>
      <c r="K444" s="95"/>
      <c r="L444" s="95"/>
      <c r="M444" s="95"/>
      <c r="N444" s="95"/>
    </row>
    <row r="445" spans="1:14" ht="19">
      <c r="B445" s="81"/>
      <c r="C445" s="81"/>
      <c r="D445" s="81"/>
      <c r="E445" s="81"/>
      <c r="F445" s="81"/>
      <c r="G445" s="81"/>
      <c r="H445" s="145"/>
      <c r="I445" s="81"/>
      <c r="J445" s="81"/>
      <c r="K445" s="81"/>
      <c r="L445" s="81"/>
      <c r="M445" s="81"/>
      <c r="N445" s="81"/>
    </row>
    <row r="446" spans="1:14" ht="20">
      <c r="A446" s="97" t="s">
        <v>191</v>
      </c>
      <c r="B446" s="81"/>
      <c r="C446" s="81"/>
      <c r="D446" s="81"/>
      <c r="E446" s="81"/>
      <c r="F446" s="81"/>
      <c r="G446" s="81"/>
      <c r="H446" s="145"/>
      <c r="I446" s="81"/>
      <c r="J446" s="81"/>
      <c r="K446" s="81"/>
      <c r="L446" s="81"/>
      <c r="M446" s="81"/>
      <c r="N446" s="106"/>
    </row>
    <row r="447" spans="1:14" ht="19">
      <c r="A447" s="94"/>
      <c r="B447" s="95"/>
      <c r="C447" s="95"/>
      <c r="D447" s="95"/>
      <c r="E447" s="95"/>
      <c r="F447" s="95"/>
      <c r="G447" s="95"/>
      <c r="H447" s="143"/>
      <c r="I447" s="95"/>
      <c r="J447" s="95"/>
      <c r="K447" s="95"/>
      <c r="L447" s="95"/>
      <c r="M447" s="95"/>
      <c r="N447" s="95"/>
    </row>
    <row r="448" spans="1:14" ht="20">
      <c r="A448" s="94" t="s">
        <v>192</v>
      </c>
      <c r="B448" s="95">
        <v>2540</v>
      </c>
      <c r="C448" s="95">
        <v>2540</v>
      </c>
      <c r="D448" s="95">
        <v>2667</v>
      </c>
      <c r="E448" s="95">
        <v>2667</v>
      </c>
      <c r="F448" s="95">
        <v>2667</v>
      </c>
      <c r="G448" s="95">
        <v>2667</v>
      </c>
      <c r="H448" s="143">
        <v>2667</v>
      </c>
      <c r="I448" s="95">
        <v>2667</v>
      </c>
      <c r="J448" s="95">
        <v>2667</v>
      </c>
      <c r="K448" s="95">
        <v>2667</v>
      </c>
      <c r="L448" s="95">
        <v>2667</v>
      </c>
      <c r="M448" s="95">
        <v>2667</v>
      </c>
      <c r="N448" s="81"/>
    </row>
    <row r="449" spans="1:15" ht="19">
      <c r="A449" s="100" t="s">
        <v>193</v>
      </c>
      <c r="B449" s="81"/>
      <c r="C449" s="81"/>
      <c r="D449" s="81"/>
      <c r="E449" s="81"/>
      <c r="F449" s="81"/>
      <c r="G449" s="81"/>
      <c r="H449" s="145"/>
      <c r="I449" s="81"/>
      <c r="J449" s="81"/>
      <c r="K449" s="81"/>
      <c r="L449" s="81"/>
      <c r="M449" s="81"/>
      <c r="N449" s="81"/>
    </row>
    <row r="450" spans="1:15" ht="19">
      <c r="B450" s="81">
        <f>SUM(B415:B449)</f>
        <v>13551.600000000002</v>
      </c>
      <c r="C450" s="81">
        <f t="shared" ref="C450:E450" si="9">SUM(C415:C449)</f>
        <v>11000.65</v>
      </c>
      <c r="D450" s="81">
        <f t="shared" si="9"/>
        <v>11985.18</v>
      </c>
      <c r="E450" s="81">
        <f t="shared" si="9"/>
        <v>10134.989999999998</v>
      </c>
      <c r="F450" s="81">
        <f t="shared" ref="F450:M450" si="10">SUM(F415:F449)</f>
        <v>11678.92</v>
      </c>
      <c r="G450" s="81">
        <f t="shared" si="10"/>
        <v>10771.650000000001</v>
      </c>
      <c r="H450" s="145">
        <f t="shared" si="10"/>
        <v>11271.650000000001</v>
      </c>
      <c r="I450" s="81">
        <f t="shared" si="10"/>
        <v>11513.650000000001</v>
      </c>
      <c r="J450" s="81">
        <f t="shared" si="10"/>
        <v>11563.070000000002</v>
      </c>
      <c r="K450" s="81">
        <f t="shared" si="10"/>
        <v>20232.89</v>
      </c>
      <c r="L450" s="81">
        <f t="shared" si="10"/>
        <v>14815.19</v>
      </c>
      <c r="M450" s="81">
        <f t="shared" si="10"/>
        <v>14058.03</v>
      </c>
      <c r="N450" s="120">
        <f>SUM(B450:M450)</f>
        <v>152577.46999999997</v>
      </c>
      <c r="O450" s="67">
        <f>SUM(N450+N311+N407+N294+N59)</f>
        <v>595464.39</v>
      </c>
    </row>
    <row r="451" spans="1:15" ht="20">
      <c r="A451" s="118" t="s">
        <v>490</v>
      </c>
      <c r="B451" s="95"/>
      <c r="C451" s="95"/>
      <c r="D451" s="95"/>
      <c r="E451" s="95"/>
      <c r="F451" s="95"/>
      <c r="G451" s="95"/>
      <c r="H451" s="143"/>
      <c r="I451" s="95"/>
      <c r="J451" s="95"/>
      <c r="K451" s="95"/>
      <c r="L451" s="95"/>
      <c r="M451" s="95"/>
      <c r="N451" s="106"/>
    </row>
    <row r="452" spans="1:15" ht="20">
      <c r="A452" s="94" t="s">
        <v>194</v>
      </c>
      <c r="B452" s="95">
        <v>6244.01</v>
      </c>
      <c r="C452" s="80">
        <v>4742.01</v>
      </c>
      <c r="D452" s="80">
        <v>4356.01</v>
      </c>
      <c r="E452" s="95">
        <v>5242.01</v>
      </c>
      <c r="F452" s="80">
        <v>4504.01</v>
      </c>
      <c r="G452" s="80">
        <v>4503.01</v>
      </c>
      <c r="H452" s="148">
        <v>7622.01</v>
      </c>
      <c r="I452" s="107">
        <v>4921.01</v>
      </c>
      <c r="J452" s="107">
        <v>6428.68</v>
      </c>
      <c r="K452" s="107">
        <v>4218.01</v>
      </c>
      <c r="L452" s="107">
        <v>6510.01</v>
      </c>
      <c r="M452" s="107">
        <v>7088.23</v>
      </c>
      <c r="N452" s="81">
        <f>SUM(B452:M452)</f>
        <v>66379.010000000009</v>
      </c>
    </row>
    <row r="453" spans="1:15" ht="20">
      <c r="A453" s="94" t="s">
        <v>195</v>
      </c>
      <c r="B453" s="95">
        <v>20815.77</v>
      </c>
      <c r="C453" s="80">
        <v>15707.74</v>
      </c>
      <c r="D453" s="95">
        <v>15122.3</v>
      </c>
      <c r="E453" s="95">
        <v>17474.55</v>
      </c>
      <c r="F453" s="95">
        <v>15379.34</v>
      </c>
      <c r="G453" s="80">
        <v>15011.13</v>
      </c>
      <c r="H453" s="148">
        <v>25407.53</v>
      </c>
      <c r="I453" s="107">
        <v>16404.669999999998</v>
      </c>
      <c r="J453" s="107">
        <v>21428.95</v>
      </c>
      <c r="K453" s="107">
        <v>14060.41</v>
      </c>
      <c r="L453" s="107">
        <v>21699.25</v>
      </c>
      <c r="M453" s="107">
        <v>23627.43</v>
      </c>
      <c r="N453" s="81">
        <f>SUM(B453:M453)</f>
        <v>222139.07</v>
      </c>
    </row>
    <row r="454" spans="1:15" ht="20">
      <c r="A454" s="97" t="s">
        <v>196</v>
      </c>
      <c r="B454" s="81">
        <f>SUM(B452:B453)</f>
        <v>27059.78</v>
      </c>
      <c r="C454" s="81">
        <f t="shared" ref="C454:M454" si="11">SUM(C452:C453)</f>
        <v>20449.75</v>
      </c>
      <c r="D454" s="81">
        <f t="shared" si="11"/>
        <v>19478.309999999998</v>
      </c>
      <c r="E454" s="81">
        <f t="shared" si="11"/>
        <v>22716.559999999998</v>
      </c>
      <c r="F454" s="81">
        <f t="shared" si="11"/>
        <v>19883.349999999999</v>
      </c>
      <c r="G454" s="81">
        <f t="shared" si="11"/>
        <v>19514.14</v>
      </c>
      <c r="H454" s="145">
        <f t="shared" si="11"/>
        <v>33029.54</v>
      </c>
      <c r="I454" s="81">
        <f t="shared" si="11"/>
        <v>21325.68</v>
      </c>
      <c r="J454" s="81">
        <f t="shared" si="11"/>
        <v>27857.63</v>
      </c>
      <c r="K454" s="81">
        <f t="shared" si="11"/>
        <v>18278.419999999998</v>
      </c>
      <c r="L454" s="81">
        <f t="shared" si="11"/>
        <v>28209.260000000002</v>
      </c>
      <c r="M454" s="81">
        <f t="shared" si="11"/>
        <v>30715.66</v>
      </c>
      <c r="N454" s="81"/>
    </row>
    <row r="455" spans="1:15" ht="19">
      <c r="A455" s="97"/>
      <c r="B455" s="95"/>
      <c r="C455" s="95"/>
      <c r="D455" s="117"/>
      <c r="E455" s="95"/>
      <c r="F455" s="117"/>
      <c r="G455" s="95"/>
      <c r="H455" s="149"/>
      <c r="I455" s="117"/>
      <c r="J455" s="95"/>
      <c r="K455" s="95"/>
      <c r="L455" s="117"/>
      <c r="M455" s="95"/>
      <c r="N455" s="106"/>
    </row>
    <row r="460" spans="1:15" ht="20">
      <c r="A460" s="97" t="s">
        <v>33</v>
      </c>
      <c r="B460" s="95"/>
      <c r="C460" s="95"/>
      <c r="D460" s="95"/>
      <c r="E460" s="95"/>
      <c r="F460" s="95"/>
      <c r="G460" s="95"/>
      <c r="H460" s="143"/>
      <c r="I460" s="95"/>
      <c r="J460" s="95"/>
      <c r="K460" s="95"/>
      <c r="L460" s="95"/>
      <c r="M460" s="95"/>
    </row>
    <row r="461" spans="1:15" ht="40">
      <c r="A461" s="94" t="s">
        <v>90</v>
      </c>
      <c r="B461" s="95">
        <v>1899.52</v>
      </c>
      <c r="C461" s="95">
        <v>1899.3</v>
      </c>
      <c r="D461" s="95">
        <v>1899.3</v>
      </c>
      <c r="E461" s="95">
        <v>0</v>
      </c>
      <c r="F461" s="95">
        <v>0</v>
      </c>
      <c r="G461" s="95">
        <v>0</v>
      </c>
      <c r="H461" s="143"/>
      <c r="I461" s="95"/>
      <c r="J461" s="95"/>
      <c r="K461" s="95"/>
      <c r="L461" s="95"/>
      <c r="M461" s="95"/>
    </row>
    <row r="462" spans="1:15" ht="20">
      <c r="A462" s="94" t="s">
        <v>91</v>
      </c>
      <c r="B462" s="95">
        <v>0</v>
      </c>
      <c r="C462" s="95">
        <v>0</v>
      </c>
      <c r="D462" s="95">
        <v>0</v>
      </c>
      <c r="E462" s="95">
        <v>0</v>
      </c>
      <c r="F462" s="95">
        <v>0</v>
      </c>
      <c r="G462" s="95">
        <v>701.93</v>
      </c>
      <c r="H462" s="143"/>
      <c r="I462" s="95"/>
      <c r="J462" s="95"/>
      <c r="K462" s="95"/>
      <c r="L462" s="95"/>
      <c r="M462" s="95"/>
    </row>
    <row r="463" spans="1:15" ht="20">
      <c r="A463" s="94" t="s">
        <v>92</v>
      </c>
      <c r="B463" s="95">
        <v>0</v>
      </c>
      <c r="C463" s="95">
        <v>0</v>
      </c>
      <c r="D463" s="95">
        <v>0</v>
      </c>
      <c r="E463" s="95">
        <v>0</v>
      </c>
      <c r="F463" s="95">
        <v>0</v>
      </c>
      <c r="G463" s="95">
        <v>377.67</v>
      </c>
      <c r="H463" s="143"/>
      <c r="I463" s="95"/>
      <c r="J463" s="95"/>
      <c r="K463" s="95"/>
      <c r="L463" s="95"/>
      <c r="M463" s="95"/>
    </row>
    <row r="464" spans="1:15" ht="20">
      <c r="A464" s="94" t="s">
        <v>93</v>
      </c>
      <c r="B464" s="95">
        <v>0</v>
      </c>
      <c r="C464" s="95">
        <v>0</v>
      </c>
      <c r="D464" s="95">
        <v>0</v>
      </c>
      <c r="E464" s="95">
        <v>0</v>
      </c>
      <c r="F464" s="95">
        <v>0</v>
      </c>
      <c r="G464" s="95">
        <v>357.28</v>
      </c>
      <c r="H464" s="143"/>
      <c r="I464" s="95"/>
      <c r="J464" s="95"/>
      <c r="K464" s="95"/>
      <c r="L464" s="95"/>
      <c r="M464" s="95"/>
    </row>
    <row r="465" spans="1:14" ht="20">
      <c r="A465" s="94" t="s">
        <v>94</v>
      </c>
      <c r="B465" s="95">
        <v>96</v>
      </c>
      <c r="C465" s="95">
        <v>0</v>
      </c>
      <c r="D465" s="95">
        <v>0</v>
      </c>
      <c r="E465" s="95">
        <v>0</v>
      </c>
      <c r="F465" s="95">
        <v>0</v>
      </c>
      <c r="G465" s="95">
        <v>0</v>
      </c>
      <c r="H465" s="143"/>
      <c r="I465" s="95"/>
      <c r="J465" s="95"/>
      <c r="K465" s="95"/>
      <c r="L465" s="95"/>
      <c r="M465" s="95"/>
    </row>
    <row r="466" spans="1:14" ht="20">
      <c r="A466" s="94" t="s">
        <v>95</v>
      </c>
      <c r="B466" s="95">
        <v>0</v>
      </c>
      <c r="C466" s="95">
        <v>0</v>
      </c>
      <c r="D466" s="95">
        <v>212.5</v>
      </c>
      <c r="E466" s="95">
        <v>294.64999999999998</v>
      </c>
      <c r="F466" s="95">
        <v>0</v>
      </c>
      <c r="G466" s="95">
        <v>0</v>
      </c>
      <c r="H466" s="143"/>
      <c r="I466" s="95"/>
      <c r="J466" s="95"/>
      <c r="K466" s="95"/>
      <c r="L466" s="95"/>
      <c r="M466" s="95"/>
    </row>
    <row r="467" spans="1:14" ht="20">
      <c r="A467" s="94" t="s">
        <v>96</v>
      </c>
      <c r="B467" s="95">
        <v>0</v>
      </c>
      <c r="C467" s="95">
        <v>0</v>
      </c>
      <c r="D467" s="95">
        <v>218.4</v>
      </c>
      <c r="E467" s="95">
        <v>0</v>
      </c>
      <c r="F467" s="95">
        <v>0</v>
      </c>
      <c r="G467" s="95">
        <v>0</v>
      </c>
      <c r="H467" s="143"/>
      <c r="I467" s="95"/>
      <c r="J467" s="95"/>
      <c r="K467" s="95"/>
      <c r="L467" s="95"/>
      <c r="M467" s="95"/>
    </row>
    <row r="468" spans="1:14" ht="20">
      <c r="A468" s="94" t="s">
        <v>97</v>
      </c>
      <c r="B468" s="95">
        <v>0</v>
      </c>
      <c r="C468" s="95">
        <v>995.85</v>
      </c>
      <c r="D468" s="95">
        <v>995.84</v>
      </c>
      <c r="E468" s="95">
        <v>995.84</v>
      </c>
      <c r="F468" s="95">
        <v>0</v>
      </c>
      <c r="G468" s="95">
        <v>0</v>
      </c>
      <c r="H468" s="143"/>
      <c r="I468" s="95"/>
      <c r="J468" s="95"/>
      <c r="K468" s="95"/>
      <c r="L468" s="95"/>
      <c r="M468" s="95"/>
    </row>
    <row r="469" spans="1:14" ht="20">
      <c r="A469" s="94" t="s">
        <v>98</v>
      </c>
      <c r="B469" s="95">
        <v>0</v>
      </c>
      <c r="C469" s="95">
        <v>136.68</v>
      </c>
      <c r="D469" s="95">
        <v>0</v>
      </c>
      <c r="E469" s="95">
        <v>0</v>
      </c>
      <c r="F469" s="95">
        <v>0</v>
      </c>
      <c r="G469" s="95">
        <v>0</v>
      </c>
      <c r="H469" s="143"/>
      <c r="I469" s="95"/>
      <c r="J469" s="95"/>
      <c r="K469" s="95"/>
      <c r="L469" s="95"/>
      <c r="M469" s="95"/>
    </row>
    <row r="470" spans="1:14" ht="20">
      <c r="A470" s="94" t="s">
        <v>99</v>
      </c>
      <c r="B470" s="95">
        <v>0</v>
      </c>
      <c r="C470" s="95">
        <v>262.3</v>
      </c>
      <c r="D470" s="95">
        <v>60.48</v>
      </c>
      <c r="E470" s="95">
        <v>0</v>
      </c>
      <c r="F470" s="95">
        <v>0</v>
      </c>
      <c r="G470" s="95">
        <v>0</v>
      </c>
      <c r="H470" s="143"/>
      <c r="I470" s="95"/>
      <c r="J470" s="95"/>
      <c r="K470" s="95"/>
      <c r="L470" s="95"/>
      <c r="M470" s="95"/>
    </row>
    <row r="471" spans="1:14" ht="20">
      <c r="A471" s="94" t="s">
        <v>100</v>
      </c>
      <c r="B471" s="95">
        <v>0</v>
      </c>
      <c r="C471" s="95">
        <v>417.56</v>
      </c>
      <c r="D471" s="95">
        <v>417.56</v>
      </c>
      <c r="E471" s="95">
        <v>0</v>
      </c>
      <c r="F471" s="95">
        <v>0</v>
      </c>
      <c r="G471" s="95">
        <v>0</v>
      </c>
      <c r="H471" s="143"/>
      <c r="I471" s="95"/>
      <c r="J471" s="95"/>
      <c r="K471" s="95"/>
      <c r="L471" s="95"/>
      <c r="M471" s="95"/>
    </row>
    <row r="472" spans="1:14" ht="20">
      <c r="A472" s="94" t="s">
        <v>101</v>
      </c>
      <c r="B472" s="95">
        <v>0</v>
      </c>
      <c r="C472" s="95">
        <v>0</v>
      </c>
      <c r="D472" s="95">
        <v>0</v>
      </c>
      <c r="E472" s="95">
        <v>1182.0899999999999</v>
      </c>
      <c r="F472" s="95">
        <v>0</v>
      </c>
      <c r="G472" s="95">
        <v>0</v>
      </c>
      <c r="H472" s="143"/>
      <c r="I472" s="95"/>
      <c r="J472" s="95"/>
      <c r="K472" s="95"/>
      <c r="L472" s="95"/>
      <c r="M472" s="95"/>
    </row>
    <row r="473" spans="1:14" ht="20">
      <c r="A473" s="94" t="s">
        <v>491</v>
      </c>
      <c r="B473" s="67">
        <f>SUM(B461:B472)</f>
        <v>1995.52</v>
      </c>
      <c r="C473" s="67">
        <f t="shared" ref="C473:E473" si="12">SUM(C461:C472)</f>
        <v>3711.69</v>
      </c>
      <c r="D473" s="67">
        <f t="shared" si="12"/>
        <v>3804.0800000000004</v>
      </c>
      <c r="E473" s="67">
        <f t="shared" si="12"/>
        <v>2472.58</v>
      </c>
      <c r="F473" s="67">
        <f>SUM(F461:F472)</f>
        <v>0</v>
      </c>
      <c r="G473" s="67">
        <f t="shared" ref="G473:H473" si="13">SUM(G461:G472)</f>
        <v>1436.8799999999999</v>
      </c>
      <c r="H473" s="150">
        <f t="shared" si="13"/>
        <v>0</v>
      </c>
      <c r="I473" s="95">
        <v>2603.61</v>
      </c>
      <c r="J473" s="95">
        <v>2049.48</v>
      </c>
      <c r="K473" s="95">
        <v>2775.45</v>
      </c>
      <c r="L473" s="95">
        <v>2049.92</v>
      </c>
      <c r="M473" s="95">
        <v>1120</v>
      </c>
      <c r="N473" s="81">
        <f>SUM(B473:M473)</f>
        <v>24019.21</v>
      </c>
    </row>
    <row r="478" spans="1:14" ht="20">
      <c r="A478" s="118" t="s">
        <v>492</v>
      </c>
      <c r="B478" s="81"/>
      <c r="C478" s="81"/>
      <c r="D478" s="81"/>
      <c r="E478" s="81"/>
      <c r="F478" s="81"/>
      <c r="G478" s="81"/>
      <c r="H478" s="145"/>
      <c r="I478" s="81"/>
      <c r="J478" s="81"/>
      <c r="K478" s="81"/>
      <c r="L478" s="81"/>
      <c r="M478" s="81"/>
      <c r="N478" s="81">
        <f>SUM(N2:N475)</f>
        <v>4445993.97</v>
      </c>
    </row>
    <row r="479" spans="1:14" ht="20" customHeight="1"/>
    <row r="505" ht="19" customHeight="1"/>
    <row r="508" ht="20" customHeight="1"/>
    <row r="509" ht="24" customHeight="1"/>
    <row r="510" ht="24" customHeight="1"/>
    <row r="511" ht="23" customHeight="1"/>
    <row r="512" ht="23" customHeight="1"/>
  </sheetData>
  <pageMargins left="0.25" right="0.25" top="0.75" bottom="0.75" header="0.3" footer="0.3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76C55-2C7D-9E4D-A116-64CE37B748BA}">
  <dimension ref="A1:N50"/>
  <sheetViews>
    <sheetView workbookViewId="0">
      <selection activeCell="A23" sqref="A23"/>
    </sheetView>
  </sheetViews>
  <sheetFormatPr baseColWidth="10" defaultColWidth="11" defaultRowHeight="16"/>
  <cols>
    <col min="1" max="1" width="45.33203125" bestFit="1" customWidth="1"/>
    <col min="2" max="2" width="16" bestFit="1" customWidth="1"/>
    <col min="3" max="3" width="18.6640625" bestFit="1" customWidth="1"/>
    <col min="4" max="4" width="14.6640625" bestFit="1" customWidth="1"/>
    <col min="5" max="8" width="13.83203125" bestFit="1" customWidth="1"/>
    <col min="9" max="9" width="14.1640625" bestFit="1" customWidth="1"/>
    <col min="10" max="10" width="18.1640625" bestFit="1" customWidth="1"/>
    <col min="11" max="11" width="16.83203125" bestFit="1" customWidth="1"/>
    <col min="12" max="12" width="19.33203125" bestFit="1" customWidth="1"/>
    <col min="13" max="13" width="18.6640625" bestFit="1" customWidth="1"/>
    <col min="14" max="14" width="21.1640625" bestFit="1" customWidth="1"/>
  </cols>
  <sheetData>
    <row r="1" spans="1:14" ht="29">
      <c r="A1" s="119" t="s">
        <v>17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  <c r="H1" s="46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8" t="s">
        <v>13</v>
      </c>
    </row>
    <row r="2" spans="1:14" ht="22">
      <c r="A2" s="48" t="s">
        <v>14</v>
      </c>
      <c r="B2" s="49"/>
      <c r="C2" s="49"/>
      <c r="D2" s="49">
        <v>0</v>
      </c>
      <c r="E2" s="50">
        <v>3161.8</v>
      </c>
      <c r="F2" s="49">
        <v>4990</v>
      </c>
      <c r="G2" s="50">
        <v>5662.7</v>
      </c>
      <c r="H2" s="53">
        <v>5180</v>
      </c>
      <c r="I2" s="50">
        <v>4380</v>
      </c>
      <c r="J2" s="50">
        <v>5230</v>
      </c>
      <c r="K2" s="50">
        <v>5080</v>
      </c>
      <c r="L2" s="50">
        <v>5630</v>
      </c>
      <c r="M2" s="50">
        <v>5490</v>
      </c>
      <c r="N2" s="55">
        <f>SUM(B2:M2)</f>
        <v>44804.5</v>
      </c>
    </row>
    <row r="3" spans="1:14" ht="22">
      <c r="A3" s="48" t="s">
        <v>15</v>
      </c>
      <c r="B3" s="49"/>
      <c r="C3" s="49"/>
      <c r="D3" s="49">
        <v>132</v>
      </c>
      <c r="E3" s="50">
        <v>482</v>
      </c>
      <c r="F3" s="49">
        <v>320</v>
      </c>
      <c r="G3" s="50">
        <v>392</v>
      </c>
      <c r="H3" s="53"/>
      <c r="I3" s="50">
        <v>430</v>
      </c>
      <c r="J3" s="50">
        <v>584</v>
      </c>
      <c r="K3" s="50">
        <v>75</v>
      </c>
      <c r="L3" s="50">
        <v>176</v>
      </c>
      <c r="M3" s="50">
        <v>40</v>
      </c>
      <c r="N3" s="55">
        <f t="shared" ref="N3" si="0">SUM(B3:M3)</f>
        <v>2631</v>
      </c>
    </row>
    <row r="4" spans="1:14" ht="24">
      <c r="A4" s="60" t="s">
        <v>18</v>
      </c>
      <c r="B4" s="51"/>
      <c r="C4" s="51"/>
      <c r="D4" s="51">
        <v>132</v>
      </c>
      <c r="E4" s="51">
        <v>3643.8</v>
      </c>
      <c r="F4" s="51">
        <v>5310</v>
      </c>
      <c r="G4" s="51">
        <v>6054.7</v>
      </c>
      <c r="H4" s="54">
        <v>5180</v>
      </c>
      <c r="I4" s="51">
        <v>4810</v>
      </c>
      <c r="J4" s="51">
        <v>5814</v>
      </c>
      <c r="K4" s="51">
        <v>5155</v>
      </c>
      <c r="L4" s="51">
        <v>5806</v>
      </c>
      <c r="M4" s="51">
        <v>5530</v>
      </c>
      <c r="N4" s="56">
        <f>SUM(B4:M4)</f>
        <v>47435.5</v>
      </c>
    </row>
    <row r="5" spans="1:14">
      <c r="A5" s="1"/>
      <c r="B5" s="1"/>
      <c r="C5" s="1"/>
      <c r="D5" s="1"/>
      <c r="E5" s="1"/>
      <c r="F5" s="1"/>
      <c r="G5" s="1"/>
      <c r="H5" s="42"/>
      <c r="I5" s="1"/>
      <c r="J5" s="1"/>
      <c r="K5" s="1"/>
      <c r="L5" s="1"/>
      <c r="M5" s="1"/>
      <c r="N5" s="1"/>
    </row>
    <row r="6" spans="1:14" ht="29">
      <c r="A6" s="122" t="s">
        <v>493</v>
      </c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</row>
    <row r="7" spans="1:14" ht="22">
      <c r="A7" s="48" t="s">
        <v>35</v>
      </c>
      <c r="B7" s="49"/>
      <c r="C7" s="49"/>
      <c r="D7" s="49"/>
      <c r="E7" s="50">
        <v>156</v>
      </c>
      <c r="F7" s="49">
        <v>137</v>
      </c>
      <c r="G7" s="50">
        <v>220</v>
      </c>
      <c r="H7" s="50">
        <v>314</v>
      </c>
      <c r="I7" s="50">
        <v>30</v>
      </c>
      <c r="J7" s="50">
        <v>97</v>
      </c>
      <c r="K7" s="50">
        <v>460</v>
      </c>
      <c r="L7" s="50">
        <v>394</v>
      </c>
      <c r="M7" s="50"/>
      <c r="N7" s="61">
        <f>SUM(B7:M7)</f>
        <v>1808</v>
      </c>
    </row>
    <row r="8" spans="1:14" ht="22">
      <c r="A8" s="48" t="s">
        <v>36</v>
      </c>
      <c r="B8" s="49"/>
      <c r="C8" s="49"/>
      <c r="D8" s="49">
        <v>169</v>
      </c>
      <c r="E8" s="50">
        <v>210</v>
      </c>
      <c r="F8" s="49">
        <v>23.75</v>
      </c>
      <c r="G8" s="50">
        <v>26</v>
      </c>
      <c r="H8" s="50">
        <v>50</v>
      </c>
      <c r="I8" s="50">
        <v>80</v>
      </c>
      <c r="J8" s="50"/>
      <c r="K8" s="50">
        <v>22</v>
      </c>
      <c r="L8" s="50">
        <v>70</v>
      </c>
      <c r="M8" s="50">
        <v>100</v>
      </c>
      <c r="N8" s="61">
        <f t="shared" ref="N8:N12" si="1">SUM(B8:M8)</f>
        <v>750.75</v>
      </c>
    </row>
    <row r="9" spans="1:14" ht="22">
      <c r="A9" s="48" t="s">
        <v>37</v>
      </c>
      <c r="B9" s="49"/>
      <c r="C9" s="49"/>
      <c r="D9" s="49">
        <v>1</v>
      </c>
      <c r="E9" s="50"/>
      <c r="F9" s="49">
        <v>120</v>
      </c>
      <c r="G9" s="50">
        <v>110</v>
      </c>
      <c r="H9" s="50">
        <v>50</v>
      </c>
      <c r="I9" s="50">
        <v>200</v>
      </c>
      <c r="J9" s="50"/>
      <c r="K9" s="50">
        <v>60</v>
      </c>
      <c r="L9" s="50">
        <v>60</v>
      </c>
      <c r="M9" s="50">
        <v>605</v>
      </c>
      <c r="N9" s="61">
        <f t="shared" si="1"/>
        <v>1206</v>
      </c>
    </row>
    <row r="10" spans="1:14" ht="24">
      <c r="A10" s="60" t="s">
        <v>54</v>
      </c>
      <c r="B10" s="52"/>
      <c r="C10" s="52"/>
      <c r="D10" s="52">
        <f t="shared" ref="D10:M10" si="2">SUM(D7:D9)</f>
        <v>170</v>
      </c>
      <c r="E10" s="52">
        <f t="shared" si="2"/>
        <v>366</v>
      </c>
      <c r="F10" s="52">
        <f t="shared" si="2"/>
        <v>280.75</v>
      </c>
      <c r="G10" s="52">
        <f t="shared" si="2"/>
        <v>356</v>
      </c>
      <c r="H10" s="52">
        <f t="shared" si="2"/>
        <v>414</v>
      </c>
      <c r="I10" s="52">
        <f t="shared" si="2"/>
        <v>310</v>
      </c>
      <c r="J10" s="52">
        <f t="shared" si="2"/>
        <v>97</v>
      </c>
      <c r="K10" s="52">
        <f t="shared" si="2"/>
        <v>542</v>
      </c>
      <c r="L10" s="52">
        <f t="shared" si="2"/>
        <v>524</v>
      </c>
      <c r="M10" s="52">
        <f t="shared" si="2"/>
        <v>705</v>
      </c>
      <c r="N10" s="62">
        <f t="shared" si="1"/>
        <v>3764.75</v>
      </c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42"/>
    </row>
    <row r="12" spans="1:14" ht="24">
      <c r="A12" s="60" t="s">
        <v>494</v>
      </c>
      <c r="B12" s="1"/>
      <c r="C12" s="1"/>
      <c r="D12" s="52">
        <f>SUM(D4+D10)</f>
        <v>302</v>
      </c>
      <c r="E12" s="52">
        <f t="shared" ref="E12:M12" si="3">SUM(E4+E10)</f>
        <v>4009.8</v>
      </c>
      <c r="F12" s="52">
        <f t="shared" si="3"/>
        <v>5590.75</v>
      </c>
      <c r="G12" s="52">
        <f t="shared" si="3"/>
        <v>6410.7</v>
      </c>
      <c r="H12" s="52">
        <f t="shared" si="3"/>
        <v>5594</v>
      </c>
      <c r="I12" s="52">
        <f t="shared" si="3"/>
        <v>5120</v>
      </c>
      <c r="J12" s="52">
        <f t="shared" si="3"/>
        <v>5911</v>
      </c>
      <c r="K12" s="52">
        <f t="shared" si="3"/>
        <v>5697</v>
      </c>
      <c r="L12" s="52">
        <f t="shared" si="3"/>
        <v>6330</v>
      </c>
      <c r="M12" s="52">
        <f t="shared" si="3"/>
        <v>6235</v>
      </c>
      <c r="N12" s="62">
        <f t="shared" si="1"/>
        <v>51200.25</v>
      </c>
    </row>
    <row r="13" spans="1:1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9">
      <c r="A14" s="121" t="s">
        <v>57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</row>
    <row r="15" spans="1:14" ht="22">
      <c r="A15" s="5" t="s">
        <v>360</v>
      </c>
      <c r="B15" s="2"/>
      <c r="C15" s="2">
        <v>1800</v>
      </c>
      <c r="D15" s="2">
        <v>1800</v>
      </c>
      <c r="E15" s="2">
        <v>1800</v>
      </c>
      <c r="F15" s="2">
        <v>1800</v>
      </c>
      <c r="G15" s="2">
        <v>1800</v>
      </c>
      <c r="H15" s="6">
        <v>1800</v>
      </c>
      <c r="I15" s="2">
        <v>1800</v>
      </c>
      <c r="J15" s="2">
        <v>1800</v>
      </c>
      <c r="K15" s="2">
        <v>532.69000000000005</v>
      </c>
      <c r="L15" s="2">
        <v>532.69000000000005</v>
      </c>
      <c r="M15" s="2">
        <v>532.69000000000005</v>
      </c>
      <c r="N15" s="47">
        <f t="shared" ref="N15:N44" si="4">SUM(B15:M15)</f>
        <v>15998.070000000002</v>
      </c>
    </row>
    <row r="16" spans="1:14" ht="22">
      <c r="A16" s="5" t="s">
        <v>361</v>
      </c>
      <c r="B16" s="2"/>
      <c r="C16" s="2">
        <v>271.18</v>
      </c>
      <c r="D16" s="2">
        <v>146.97999999999999</v>
      </c>
      <c r="E16" s="2">
        <v>138.56</v>
      </c>
      <c r="F16" s="2">
        <v>237.09</v>
      </c>
      <c r="G16" s="2">
        <v>286.36</v>
      </c>
      <c r="H16" s="6">
        <v>138.56</v>
      </c>
      <c r="I16" s="2">
        <v>138.56</v>
      </c>
      <c r="J16" s="2">
        <v>138.56</v>
      </c>
      <c r="K16" s="2">
        <v>138.66</v>
      </c>
      <c r="L16" s="2">
        <v>138.66</v>
      </c>
      <c r="M16" s="2">
        <v>138.56</v>
      </c>
      <c r="N16" s="47">
        <f t="shared" si="4"/>
        <v>1911.73</v>
      </c>
    </row>
    <row r="17" spans="1:14" ht="22">
      <c r="A17" s="5" t="s">
        <v>362</v>
      </c>
      <c r="B17" s="2"/>
      <c r="C17" s="2">
        <v>83.63</v>
      </c>
      <c r="D17" s="2">
        <v>119.19</v>
      </c>
      <c r="E17" s="2">
        <v>130.83000000000001</v>
      </c>
      <c r="F17" s="2">
        <v>205.88</v>
      </c>
      <c r="G17" s="2">
        <v>165.14</v>
      </c>
      <c r="H17" s="6">
        <v>163.32</v>
      </c>
      <c r="I17" s="2">
        <v>171.7</v>
      </c>
      <c r="J17" s="2">
        <v>169.2</v>
      </c>
      <c r="K17" s="2">
        <v>215.82</v>
      </c>
      <c r="L17" s="2">
        <v>240.3</v>
      </c>
      <c r="M17" s="2">
        <v>215.99</v>
      </c>
      <c r="N17" s="47">
        <f t="shared" si="4"/>
        <v>1881</v>
      </c>
    </row>
    <row r="18" spans="1:14" ht="22">
      <c r="A18" s="5" t="s">
        <v>363</v>
      </c>
      <c r="B18" s="2"/>
      <c r="C18" s="2"/>
      <c r="D18" s="2"/>
      <c r="E18" s="2">
        <v>80</v>
      </c>
      <c r="F18" s="2">
        <v>80</v>
      </c>
      <c r="G18" s="2">
        <v>80</v>
      </c>
      <c r="H18" s="6">
        <v>80</v>
      </c>
      <c r="I18" s="2">
        <v>1150</v>
      </c>
      <c r="J18" s="2">
        <v>80</v>
      </c>
      <c r="K18" s="2">
        <v>80</v>
      </c>
      <c r="L18" s="2">
        <v>80</v>
      </c>
      <c r="M18" s="2">
        <v>80</v>
      </c>
      <c r="N18" s="47">
        <f t="shared" si="4"/>
        <v>1790</v>
      </c>
    </row>
    <row r="19" spans="1:14" ht="22">
      <c r="A19" s="5" t="s">
        <v>364</v>
      </c>
      <c r="B19" s="2"/>
      <c r="C19" s="2"/>
      <c r="D19" s="2"/>
      <c r="E19" s="2">
        <v>300</v>
      </c>
      <c r="F19" s="2">
        <v>300</v>
      </c>
      <c r="G19" s="2">
        <v>300</v>
      </c>
      <c r="H19" s="6">
        <v>300</v>
      </c>
      <c r="I19" s="2">
        <v>300</v>
      </c>
      <c r="J19" s="2">
        <v>300</v>
      </c>
      <c r="K19" s="2">
        <v>300</v>
      </c>
      <c r="L19" s="2">
        <v>300</v>
      </c>
      <c r="M19" s="2">
        <v>300</v>
      </c>
      <c r="N19" s="47">
        <f t="shared" si="4"/>
        <v>2700</v>
      </c>
    </row>
    <row r="20" spans="1:14" ht="22">
      <c r="A20" s="5" t="s">
        <v>365</v>
      </c>
      <c r="B20" s="2"/>
      <c r="C20" s="2"/>
      <c r="D20" s="2"/>
      <c r="E20" s="2">
        <v>168.49</v>
      </c>
      <c r="F20" s="2">
        <v>168.5</v>
      </c>
      <c r="G20" s="2">
        <v>168.5</v>
      </c>
      <c r="H20" s="6">
        <v>168.5</v>
      </c>
      <c r="I20" s="2"/>
      <c r="J20" s="2"/>
      <c r="K20" s="2"/>
      <c r="L20" s="2"/>
      <c r="M20" s="2"/>
      <c r="N20" s="47">
        <f t="shared" si="4"/>
        <v>673.99</v>
      </c>
    </row>
    <row r="21" spans="1:14" ht="22">
      <c r="A21" s="5" t="s">
        <v>366</v>
      </c>
      <c r="B21" s="2"/>
      <c r="C21" s="2"/>
      <c r="D21" s="2">
        <v>747.22</v>
      </c>
      <c r="E21" s="2"/>
      <c r="F21" s="2"/>
      <c r="G21" s="2"/>
      <c r="H21" s="6"/>
      <c r="I21" s="2"/>
      <c r="J21" s="2"/>
      <c r="K21" s="2"/>
      <c r="L21" s="2"/>
      <c r="M21" s="2"/>
      <c r="N21" s="47">
        <f t="shared" si="4"/>
        <v>747.22</v>
      </c>
    </row>
    <row r="22" spans="1:14" ht="22">
      <c r="A22" s="5" t="s">
        <v>367</v>
      </c>
      <c r="B22" s="2"/>
      <c r="C22" s="2"/>
      <c r="D22" s="2">
        <v>78</v>
      </c>
      <c r="E22" s="2"/>
      <c r="F22" s="2"/>
      <c r="G22" s="2"/>
      <c r="H22" s="6"/>
      <c r="I22" s="2"/>
      <c r="J22" s="2"/>
      <c r="K22" s="2"/>
      <c r="L22" s="2"/>
      <c r="M22" s="2"/>
      <c r="N22" s="47">
        <f t="shared" si="4"/>
        <v>78</v>
      </c>
    </row>
    <row r="23" spans="1:14" ht="22">
      <c r="A23" s="5" t="s">
        <v>369</v>
      </c>
      <c r="B23" s="2"/>
      <c r="C23" s="2"/>
      <c r="D23" s="2"/>
      <c r="E23" s="2"/>
      <c r="F23" s="2">
        <v>110</v>
      </c>
      <c r="G23" s="2"/>
      <c r="H23" s="6"/>
      <c r="I23" s="2"/>
      <c r="J23" s="2"/>
      <c r="K23" s="2"/>
      <c r="L23" s="2"/>
      <c r="M23" s="2"/>
      <c r="N23" s="47">
        <f t="shared" si="4"/>
        <v>110</v>
      </c>
    </row>
    <row r="24" spans="1:14" ht="22">
      <c r="A24" s="5" t="s">
        <v>370</v>
      </c>
      <c r="B24" s="2">
        <v>920</v>
      </c>
      <c r="C24" s="2"/>
      <c r="D24" s="2"/>
      <c r="E24" s="2"/>
      <c r="F24" s="2"/>
      <c r="G24" s="2"/>
      <c r="H24" s="6"/>
      <c r="I24" s="2"/>
      <c r="J24" s="2"/>
      <c r="K24" s="2"/>
      <c r="L24" s="2"/>
      <c r="M24" s="2"/>
      <c r="N24" s="47">
        <f t="shared" si="4"/>
        <v>920</v>
      </c>
    </row>
    <row r="25" spans="1:14" ht="22">
      <c r="A25" s="5" t="s">
        <v>371</v>
      </c>
      <c r="B25" s="2">
        <v>2300</v>
      </c>
      <c r="C25" s="2"/>
      <c r="D25" s="2"/>
      <c r="E25" s="2"/>
      <c r="F25" s="2"/>
      <c r="G25" s="2"/>
      <c r="H25" s="6"/>
      <c r="I25" s="2"/>
      <c r="J25" s="2"/>
      <c r="K25" s="2"/>
      <c r="L25" s="2"/>
      <c r="M25" s="2"/>
      <c r="N25" s="47">
        <f t="shared" si="4"/>
        <v>2300</v>
      </c>
    </row>
    <row r="26" spans="1:14" ht="22">
      <c r="A26" s="5" t="s">
        <v>372</v>
      </c>
      <c r="B26" s="2">
        <v>2063.7199999999998</v>
      </c>
      <c r="C26" s="2"/>
      <c r="D26" s="2"/>
      <c r="E26" s="2"/>
      <c r="F26" s="2"/>
      <c r="G26" s="2"/>
      <c r="H26" s="6"/>
      <c r="I26" s="2"/>
      <c r="J26" s="2"/>
      <c r="K26" s="2"/>
      <c r="L26" s="2"/>
      <c r="M26" s="2"/>
      <c r="N26" s="47">
        <f t="shared" si="4"/>
        <v>2063.7199999999998</v>
      </c>
    </row>
    <row r="27" spans="1:14" ht="22">
      <c r="A27" s="5" t="s">
        <v>373</v>
      </c>
      <c r="B27" s="2">
        <v>140</v>
      </c>
      <c r="C27" s="2"/>
      <c r="D27" s="2"/>
      <c r="E27" s="2"/>
      <c r="F27" s="2"/>
      <c r="G27" s="2"/>
      <c r="H27" s="6"/>
      <c r="I27" s="2"/>
      <c r="J27" s="2"/>
      <c r="K27" s="2"/>
      <c r="L27" s="2"/>
      <c r="M27" s="2"/>
      <c r="N27" s="47">
        <f t="shared" si="4"/>
        <v>140</v>
      </c>
    </row>
    <row r="28" spans="1:14" ht="22">
      <c r="A28" s="5" t="s">
        <v>374</v>
      </c>
      <c r="B28" s="2">
        <v>1770</v>
      </c>
      <c r="C28" s="2"/>
      <c r="D28" s="2"/>
      <c r="E28" s="2"/>
      <c r="F28" s="2"/>
      <c r="G28" s="2"/>
      <c r="H28" s="6"/>
      <c r="I28" s="2"/>
      <c r="J28" s="2"/>
      <c r="K28" s="2"/>
      <c r="L28" s="2"/>
      <c r="M28" s="2"/>
      <c r="N28" s="47">
        <f t="shared" si="4"/>
        <v>1770</v>
      </c>
    </row>
    <row r="29" spans="1:14" ht="22">
      <c r="A29" s="5" t="s">
        <v>375</v>
      </c>
      <c r="B29" s="2">
        <v>8700</v>
      </c>
      <c r="C29" s="2"/>
      <c r="D29" s="2"/>
      <c r="E29" s="2"/>
      <c r="F29" s="2"/>
      <c r="G29" s="2"/>
      <c r="H29" s="6"/>
      <c r="I29" s="2"/>
      <c r="J29" s="2"/>
      <c r="K29" s="2"/>
      <c r="L29" s="2"/>
      <c r="M29" s="2"/>
      <c r="N29" s="47">
        <f t="shared" si="4"/>
        <v>8700</v>
      </c>
    </row>
    <row r="30" spans="1:14" ht="22">
      <c r="A30" s="5" t="s">
        <v>371</v>
      </c>
      <c r="B30" s="2">
        <v>500</v>
      </c>
      <c r="C30" s="2"/>
      <c r="D30" s="2"/>
      <c r="E30" s="2"/>
      <c r="F30" s="2"/>
      <c r="G30" s="2"/>
      <c r="H30" s="6"/>
      <c r="I30" s="2"/>
      <c r="J30" s="2"/>
      <c r="K30" s="2"/>
      <c r="L30" s="2"/>
      <c r="M30" s="2"/>
      <c r="N30" s="47">
        <f t="shared" si="4"/>
        <v>500</v>
      </c>
    </row>
    <row r="31" spans="1:14" ht="22">
      <c r="A31" s="5" t="s">
        <v>376</v>
      </c>
      <c r="B31" s="2">
        <v>140</v>
      </c>
      <c r="C31" s="2"/>
      <c r="D31" s="2"/>
      <c r="E31" s="2"/>
      <c r="F31" s="2"/>
      <c r="G31" s="2"/>
      <c r="H31" s="6"/>
      <c r="I31" s="2"/>
      <c r="J31" s="2"/>
      <c r="K31" s="2"/>
      <c r="L31" s="2"/>
      <c r="M31" s="2"/>
      <c r="N31" s="47">
        <f t="shared" si="4"/>
        <v>140</v>
      </c>
    </row>
    <row r="32" spans="1:14" ht="22">
      <c r="A32" s="5" t="s">
        <v>377</v>
      </c>
      <c r="B32" s="2"/>
      <c r="C32" s="2">
        <v>380</v>
      </c>
      <c r="D32" s="2"/>
      <c r="E32" s="2"/>
      <c r="F32" s="2"/>
      <c r="G32" s="2"/>
      <c r="H32" s="6"/>
      <c r="I32" s="2"/>
      <c r="J32" s="2"/>
      <c r="K32" s="2"/>
      <c r="L32" s="2"/>
      <c r="M32" s="2"/>
      <c r="N32" s="47">
        <f t="shared" si="4"/>
        <v>380</v>
      </c>
    </row>
    <row r="33" spans="1:14" ht="22">
      <c r="A33" s="5" t="s">
        <v>378</v>
      </c>
      <c r="B33" s="2"/>
      <c r="C33" s="2">
        <v>185</v>
      </c>
      <c r="D33" s="2"/>
      <c r="E33" s="2"/>
      <c r="F33" s="2"/>
      <c r="G33" s="2"/>
      <c r="H33" s="6"/>
      <c r="I33" s="2"/>
      <c r="J33" s="2"/>
      <c r="K33" s="2"/>
      <c r="L33" s="2"/>
      <c r="M33" s="2"/>
      <c r="N33" s="47">
        <f t="shared" si="4"/>
        <v>185</v>
      </c>
    </row>
    <row r="34" spans="1:14" ht="22">
      <c r="A34" s="5" t="s">
        <v>379</v>
      </c>
      <c r="B34" s="2"/>
      <c r="C34" s="2">
        <v>182.16</v>
      </c>
      <c r="D34" s="2"/>
      <c r="E34" s="2"/>
      <c r="F34" s="2"/>
      <c r="G34" s="2"/>
      <c r="H34" s="6"/>
      <c r="I34" s="2"/>
      <c r="J34" s="2"/>
      <c r="K34" s="2"/>
      <c r="L34" s="2"/>
      <c r="M34" s="2"/>
      <c r="N34" s="47">
        <f t="shared" si="4"/>
        <v>182.16</v>
      </c>
    </row>
    <row r="35" spans="1:14" ht="22">
      <c r="A35" s="5" t="s">
        <v>380</v>
      </c>
      <c r="B35" s="2"/>
      <c r="C35" s="2">
        <v>1500</v>
      </c>
      <c r="D35" s="2"/>
      <c r="E35" s="2"/>
      <c r="F35" s="2"/>
      <c r="G35" s="2"/>
      <c r="H35" s="6"/>
      <c r="I35" s="2"/>
      <c r="J35" s="2"/>
      <c r="K35" s="2"/>
      <c r="L35" s="2"/>
      <c r="M35" s="2"/>
      <c r="N35" s="47">
        <f t="shared" si="4"/>
        <v>1500</v>
      </c>
    </row>
    <row r="36" spans="1:14" ht="22">
      <c r="A36" s="5" t="s">
        <v>381</v>
      </c>
      <c r="B36" s="2"/>
      <c r="C36" s="2">
        <v>550</v>
      </c>
      <c r="D36" s="2"/>
      <c r="E36" s="2"/>
      <c r="F36" s="2"/>
      <c r="G36" s="2"/>
      <c r="H36" s="6"/>
      <c r="I36" s="2"/>
      <c r="J36" s="2"/>
      <c r="K36" s="2"/>
      <c r="L36" s="2"/>
      <c r="M36" s="2"/>
      <c r="N36" s="47">
        <f t="shared" si="4"/>
        <v>550</v>
      </c>
    </row>
    <row r="37" spans="1:14" ht="22">
      <c r="A37" s="5" t="s">
        <v>382</v>
      </c>
      <c r="B37" s="2"/>
      <c r="C37" s="2">
        <v>266.51</v>
      </c>
      <c r="D37" s="2"/>
      <c r="E37" s="2"/>
      <c r="F37" s="2"/>
      <c r="G37" s="2"/>
      <c r="H37" s="6"/>
      <c r="I37" s="2"/>
      <c r="J37" s="2"/>
      <c r="K37" s="2"/>
      <c r="L37" s="2"/>
      <c r="M37" s="2"/>
      <c r="N37" s="47">
        <f t="shared" si="4"/>
        <v>266.51</v>
      </c>
    </row>
    <row r="38" spans="1:14" ht="22">
      <c r="A38" s="5" t="s">
        <v>383</v>
      </c>
      <c r="B38" s="2"/>
      <c r="C38" s="2">
        <v>179</v>
      </c>
      <c r="D38" s="2"/>
      <c r="E38" s="2"/>
      <c r="F38" s="2"/>
      <c r="G38" s="2"/>
      <c r="H38" s="6"/>
      <c r="I38" s="2"/>
      <c r="J38" s="2"/>
      <c r="K38" s="2"/>
      <c r="L38" s="2"/>
      <c r="M38" s="2"/>
      <c r="N38" s="47">
        <f t="shared" si="4"/>
        <v>179</v>
      </c>
    </row>
    <row r="39" spans="1:14" ht="22">
      <c r="A39" s="5" t="s">
        <v>384</v>
      </c>
      <c r="B39" s="2"/>
      <c r="C39" s="2">
        <v>361</v>
      </c>
      <c r="D39" s="2"/>
      <c r="E39" s="2"/>
      <c r="F39" s="2"/>
      <c r="G39" s="2"/>
      <c r="H39" s="6"/>
      <c r="I39" s="2"/>
      <c r="J39" s="2"/>
      <c r="K39" s="2"/>
      <c r="L39" s="2"/>
      <c r="M39" s="2"/>
      <c r="N39" s="47">
        <f t="shared" si="4"/>
        <v>361</v>
      </c>
    </row>
    <row r="40" spans="1:14" ht="22">
      <c r="A40" s="45" t="s">
        <v>385</v>
      </c>
      <c r="B40" s="2"/>
      <c r="C40" s="2"/>
      <c r="D40" s="2"/>
      <c r="E40" s="2"/>
      <c r="F40" s="2"/>
      <c r="G40" s="2"/>
      <c r="H40" s="6"/>
      <c r="I40" s="2"/>
      <c r="J40" s="2">
        <v>2157.6799999999998</v>
      </c>
      <c r="K40" s="2"/>
      <c r="L40" s="2"/>
      <c r="M40" s="2"/>
      <c r="N40" s="47">
        <f t="shared" si="4"/>
        <v>2157.6799999999998</v>
      </c>
    </row>
    <row r="41" spans="1:14" ht="22">
      <c r="A41" s="45" t="s">
        <v>386</v>
      </c>
      <c r="B41" s="2"/>
      <c r="C41" s="2"/>
      <c r="D41" s="2"/>
      <c r="E41" s="2"/>
      <c r="F41" s="2"/>
      <c r="G41" s="2"/>
      <c r="H41" s="6"/>
      <c r="I41" s="2"/>
      <c r="J41" s="2">
        <v>6000</v>
      </c>
      <c r="K41" s="2"/>
      <c r="L41" s="1"/>
      <c r="M41" s="2"/>
      <c r="N41" s="47">
        <f t="shared" si="4"/>
        <v>6000</v>
      </c>
    </row>
    <row r="42" spans="1:14" ht="22">
      <c r="A42" s="45" t="s">
        <v>387</v>
      </c>
      <c r="B42" s="2"/>
      <c r="C42" s="2">
        <v>250</v>
      </c>
      <c r="D42" s="2"/>
      <c r="E42" s="2"/>
      <c r="F42" s="2"/>
      <c r="G42" s="2"/>
      <c r="H42" s="6"/>
      <c r="I42" s="2"/>
      <c r="J42" s="2">
        <v>450</v>
      </c>
      <c r="K42" s="2"/>
      <c r="L42" s="2">
        <v>700</v>
      </c>
      <c r="M42" s="2"/>
      <c r="N42" s="47">
        <f t="shared" si="4"/>
        <v>1400</v>
      </c>
    </row>
    <row r="43" spans="1:14" ht="22">
      <c r="A43" s="45" t="s">
        <v>388</v>
      </c>
      <c r="B43" s="1"/>
      <c r="C43" s="1"/>
      <c r="D43" s="1"/>
      <c r="E43" s="1"/>
      <c r="F43" s="1"/>
      <c r="G43" s="1"/>
      <c r="H43" s="42"/>
      <c r="I43" s="1"/>
      <c r="J43" s="1"/>
      <c r="K43" s="1"/>
      <c r="L43" s="2">
        <v>3240</v>
      </c>
      <c r="M43" s="1"/>
      <c r="N43" s="47">
        <f t="shared" si="4"/>
        <v>3240</v>
      </c>
    </row>
    <row r="44" spans="1:14" ht="22">
      <c r="A44" s="45" t="s">
        <v>389</v>
      </c>
      <c r="B44" s="1"/>
      <c r="C44" s="1"/>
      <c r="D44" s="1"/>
      <c r="E44" s="1"/>
      <c r="F44" s="1"/>
      <c r="G44" s="1"/>
      <c r="H44" s="42"/>
      <c r="I44" s="1"/>
      <c r="J44" s="1"/>
      <c r="K44" s="1"/>
      <c r="L44" s="2">
        <v>1250</v>
      </c>
      <c r="M44" s="1"/>
      <c r="N44" s="47">
        <f t="shared" si="4"/>
        <v>1250</v>
      </c>
    </row>
    <row r="45" spans="1:14" ht="22">
      <c r="A45" s="43"/>
      <c r="B45" s="3"/>
      <c r="C45" s="3"/>
      <c r="D45" s="3"/>
      <c r="E45" s="3"/>
      <c r="F45" s="3"/>
      <c r="G45" s="3"/>
      <c r="H45" s="42"/>
      <c r="I45" s="1"/>
      <c r="J45" s="1"/>
      <c r="K45" s="1"/>
      <c r="L45" s="1"/>
      <c r="M45" s="1"/>
      <c r="N45" s="66"/>
    </row>
    <row r="46" spans="1:14" ht="29">
      <c r="A46" s="59" t="s">
        <v>495</v>
      </c>
      <c r="B46" s="4">
        <f>SUM(B15:B42)</f>
        <v>16533.72</v>
      </c>
      <c r="C46" s="4">
        <f>SUM(C15:C42)</f>
        <v>6008.48</v>
      </c>
      <c r="D46" s="4">
        <f>SUM(D15:D42)</f>
        <v>2891.3900000000003</v>
      </c>
      <c r="E46" s="4">
        <f t="shared" ref="E46:M46" si="5">SUM(E15:E44)</f>
        <v>2617.88</v>
      </c>
      <c r="F46" s="4">
        <f t="shared" si="5"/>
        <v>2901.47</v>
      </c>
      <c r="G46" s="4">
        <f t="shared" si="5"/>
        <v>2800</v>
      </c>
      <c r="H46" s="7">
        <f t="shared" si="5"/>
        <v>2650.38</v>
      </c>
      <c r="I46" s="4">
        <f t="shared" si="5"/>
        <v>3560.2599999999998</v>
      </c>
      <c r="J46" s="4">
        <f t="shared" si="5"/>
        <v>11095.439999999999</v>
      </c>
      <c r="K46" s="4">
        <f t="shared" si="5"/>
        <v>1267.17</v>
      </c>
      <c r="L46" s="4">
        <f t="shared" si="5"/>
        <v>6481.65</v>
      </c>
      <c r="M46" s="4">
        <f t="shared" si="5"/>
        <v>1267.24</v>
      </c>
      <c r="N46" s="63">
        <f>SUM(B46:M46)</f>
        <v>60075.08</v>
      </c>
    </row>
    <row r="49" spans="1:14" ht="29">
      <c r="A49" s="64" t="s">
        <v>496</v>
      </c>
      <c r="B49" s="65">
        <f>IF(B12&gt;=B46,B12-B46,B12-B46)</f>
        <v>-16533.72</v>
      </c>
      <c r="C49" s="65">
        <f t="shared" ref="C49:M49" si="6">IF(C12&gt;=C46,C12-C46,C12-C46)</f>
        <v>-6008.48</v>
      </c>
      <c r="D49" s="65">
        <f t="shared" si="6"/>
        <v>-2589.3900000000003</v>
      </c>
      <c r="E49" s="65">
        <f t="shared" si="6"/>
        <v>1391.92</v>
      </c>
      <c r="F49" s="65">
        <f t="shared" si="6"/>
        <v>2689.28</v>
      </c>
      <c r="G49" s="65">
        <f t="shared" si="6"/>
        <v>3610.7</v>
      </c>
      <c r="H49" s="65">
        <f t="shared" si="6"/>
        <v>2943.62</v>
      </c>
      <c r="I49" s="65">
        <f t="shared" si="6"/>
        <v>1559.7400000000002</v>
      </c>
      <c r="J49" s="65">
        <f t="shared" si="6"/>
        <v>-5184.4399999999987</v>
      </c>
      <c r="K49" s="65">
        <f t="shared" si="6"/>
        <v>4429.83</v>
      </c>
      <c r="L49" s="65">
        <f t="shared" si="6"/>
        <v>-151.64999999999964</v>
      </c>
      <c r="M49" s="65">
        <f t="shared" si="6"/>
        <v>4967.76</v>
      </c>
      <c r="N49" s="63">
        <f>SUM(B49:M49)</f>
        <v>-8874.8299999999963</v>
      </c>
    </row>
    <row r="50" spans="1:14" ht="18">
      <c r="A50" s="44"/>
    </row>
  </sheetData>
  <mergeCells count="2">
    <mergeCell ref="A14:N14"/>
    <mergeCell ref="A6:N6"/>
  </mergeCells>
  <conditionalFormatting sqref="B49:M49">
    <cfRule type="colorScale" priority="1">
      <colorScale>
        <cfvo type="num" val="0"/>
        <cfvo type="num" val="0"/>
        <color rgb="FFFF0000"/>
        <color rgb="FF00B050"/>
      </colorScale>
    </cfRule>
    <cfRule type="colorScale" priority="2">
      <colorScale>
        <cfvo type="min"/>
        <cfvo type="max"/>
        <color rgb="FFFF7128"/>
        <color rgb="FFFFEF9C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Receitas</vt:lpstr>
      <vt:lpstr>Recriando Despesas</vt:lpstr>
      <vt:lpstr>Despesas</vt:lpstr>
      <vt:lpstr>Nova Granada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IPB Rio Preto</dc:creator>
  <cp:keywords/>
  <dc:description/>
  <cp:lastModifiedBy>IPB Rio Preto</cp:lastModifiedBy>
  <cp:revision/>
  <dcterms:created xsi:type="dcterms:W3CDTF">2025-02-04T17:41:59Z</dcterms:created>
  <dcterms:modified xsi:type="dcterms:W3CDTF">2026-01-10T13:41:22Z</dcterms:modified>
  <cp:category/>
  <cp:contentStatus/>
</cp:coreProperties>
</file>