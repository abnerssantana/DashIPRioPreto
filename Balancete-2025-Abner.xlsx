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bner/Documents/IPB/dashboard-despesas/"/>
    </mc:Choice>
  </mc:AlternateContent>
  <xr:revisionPtr revIDLastSave="0" documentId="8_{88E122C8-35B7-0243-B8A7-648C9AB3FAFD}" xr6:coauthVersionLast="47" xr6:coauthVersionMax="47" xr10:uidLastSave="{00000000-0000-0000-0000-000000000000}"/>
  <bookViews>
    <workbookView xWindow="0" yWindow="620" windowWidth="33600" windowHeight="20380" xr2:uid="{DD179F22-A06B-8544-9C53-32AB49C8675D}"/>
  </bookViews>
  <sheets>
    <sheet name="Despes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" l="1"/>
  <c r="F140" i="2"/>
  <c r="F265" i="2"/>
  <c r="F300" i="2"/>
  <c r="F317" i="2"/>
  <c r="F355" i="2"/>
  <c r="F361" i="2"/>
  <c r="F413" i="2"/>
  <c r="F456" i="2"/>
  <c r="N456" i="2" s="1"/>
  <c r="G413" i="2"/>
  <c r="H413" i="2"/>
  <c r="I413" i="2"/>
  <c r="J413" i="2"/>
  <c r="K413" i="2"/>
  <c r="L413" i="2"/>
  <c r="M413" i="2"/>
  <c r="B413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N419" i="2" s="1"/>
  <c r="C265" i="2"/>
  <c r="D265" i="2"/>
  <c r="G265" i="2"/>
  <c r="H265" i="2"/>
  <c r="I265" i="2"/>
  <c r="J265" i="2"/>
  <c r="K265" i="2"/>
  <c r="L265" i="2"/>
  <c r="M265" i="2"/>
  <c r="C479" i="2"/>
  <c r="D479" i="2"/>
  <c r="E479" i="2"/>
  <c r="B479" i="2"/>
  <c r="G479" i="2"/>
  <c r="H479" i="2"/>
  <c r="F479" i="2"/>
  <c r="N479" i="2" s="1"/>
  <c r="C10" i="2"/>
  <c r="D10" i="2"/>
  <c r="E10" i="2"/>
  <c r="F10" i="2"/>
  <c r="G10" i="2"/>
  <c r="H10" i="2"/>
  <c r="I10" i="2"/>
  <c r="J10" i="2"/>
  <c r="K10" i="2"/>
  <c r="L10" i="2"/>
  <c r="M10" i="2"/>
  <c r="B10" i="2"/>
  <c r="N459" i="2"/>
  <c r="N458" i="2"/>
  <c r="B140" i="2"/>
  <c r="C140" i="2"/>
  <c r="D140" i="2"/>
  <c r="E140" i="2"/>
  <c r="G140" i="2"/>
  <c r="H140" i="2"/>
  <c r="I140" i="2"/>
  <c r="J140" i="2"/>
  <c r="K140" i="2"/>
  <c r="L140" i="2"/>
  <c r="M140" i="2"/>
  <c r="C460" i="2"/>
  <c r="D460" i="2"/>
  <c r="E460" i="2"/>
  <c r="F460" i="2"/>
  <c r="G460" i="2"/>
  <c r="H460" i="2"/>
  <c r="I460" i="2"/>
  <c r="J460" i="2"/>
  <c r="K460" i="2"/>
  <c r="L460" i="2"/>
  <c r="M460" i="2"/>
  <c r="B460" i="2"/>
  <c r="C456" i="2"/>
  <c r="D456" i="2"/>
  <c r="E456" i="2"/>
  <c r="B456" i="2"/>
  <c r="C355" i="2"/>
  <c r="D355" i="2"/>
  <c r="E355" i="2"/>
  <c r="G355" i="2"/>
  <c r="H355" i="2"/>
  <c r="I355" i="2"/>
  <c r="J355" i="2"/>
  <c r="K355" i="2"/>
  <c r="L355" i="2"/>
  <c r="M355" i="2"/>
  <c r="B355" i="2"/>
  <c r="C361" i="2"/>
  <c r="D361" i="2"/>
  <c r="E361" i="2"/>
  <c r="G361" i="2"/>
  <c r="H361" i="2"/>
  <c r="I361" i="2"/>
  <c r="J361" i="2"/>
  <c r="K361" i="2"/>
  <c r="L361" i="2"/>
  <c r="M361" i="2"/>
  <c r="B361" i="2"/>
  <c r="C317" i="2"/>
  <c r="D317" i="2"/>
  <c r="E317" i="2"/>
  <c r="G317" i="2"/>
  <c r="H317" i="2"/>
  <c r="I317" i="2"/>
  <c r="J317" i="2"/>
  <c r="K317" i="2"/>
  <c r="L317" i="2"/>
  <c r="M317" i="2"/>
  <c r="B317" i="2"/>
  <c r="C300" i="2"/>
  <c r="D300" i="2"/>
  <c r="E300" i="2"/>
  <c r="G300" i="2"/>
  <c r="H300" i="2"/>
  <c r="I300" i="2"/>
  <c r="J300" i="2"/>
  <c r="K300" i="2"/>
  <c r="L300" i="2"/>
  <c r="M300" i="2"/>
  <c r="B300" i="2"/>
  <c r="C61" i="2"/>
  <c r="E61" i="2"/>
  <c r="G61" i="2"/>
  <c r="H61" i="2"/>
  <c r="I61" i="2"/>
  <c r="J61" i="2"/>
  <c r="K61" i="2"/>
  <c r="L61" i="2"/>
  <c r="M61" i="2"/>
  <c r="B61" i="2"/>
  <c r="D57" i="2"/>
  <c r="D40" i="2"/>
  <c r="B220" i="2"/>
  <c r="B265" i="2" s="1"/>
  <c r="D373" i="2"/>
  <c r="D413" i="2" s="1"/>
  <c r="C383" i="2"/>
  <c r="C413" i="2" s="1"/>
  <c r="N361" i="2" l="1"/>
  <c r="N317" i="2"/>
  <c r="N10" i="2"/>
  <c r="N355" i="2"/>
  <c r="O361" i="2" s="1"/>
  <c r="N300" i="2"/>
  <c r="D61" i="2"/>
  <c r="N61" i="2" s="1"/>
  <c r="N140" i="2"/>
  <c r="F383" i="2"/>
  <c r="E373" i="2"/>
  <c r="E413" i="2" s="1"/>
  <c r="N413" i="2" l="1"/>
  <c r="E220" i="2"/>
  <c r="E265" i="2" s="1"/>
  <c r="N265" i="2" s="1"/>
  <c r="G456" i="2" l="1"/>
  <c r="H456" i="2"/>
  <c r="I456" i="2"/>
  <c r="J456" i="2"/>
  <c r="K456" i="2"/>
  <c r="L456" i="2"/>
  <c r="M456" i="2"/>
  <c r="O456" i="2" l="1"/>
  <c r="N484" i="2"/>
</calcChain>
</file>

<file path=xl/sharedStrings.xml><?xml version="1.0" encoding="utf-8"?>
<sst xmlns="http://schemas.openxmlformats.org/spreadsheetml/2006/main" count="460" uniqueCount="426">
  <si>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</si>
  <si>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</si>
  <si>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</si>
  <si>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</si>
  <si>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</si>
  <si>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</si>
  <si>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</si>
  <si>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</si>
  <si>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</si>
  <si>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</si>
  <si>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</si>
  <si>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</si>
  <si>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Livros:</t>
  </si>
  <si>
    <t>DESPESAS</t>
  </si>
  <si>
    <t>Funeraria</t>
  </si>
  <si>
    <t>Junta Diaconal</t>
  </si>
  <si>
    <t>Cesta básica</t>
  </si>
  <si>
    <t>Água e esgosto</t>
  </si>
  <si>
    <t>Contador</t>
  </si>
  <si>
    <t>Energia Elétrica</t>
  </si>
  <si>
    <t>Eventos: aniversário da Igreja</t>
  </si>
  <si>
    <t>Banda Purples:</t>
  </si>
  <si>
    <t>Hospedagem motorista banda purples</t>
  </si>
  <si>
    <t>Lembrança ao membro mais idoso da igreja</t>
  </si>
  <si>
    <t>Lembrança ao membro mais jovem da igreja</t>
  </si>
  <si>
    <t>Bolo 30 Kg R$ 70/Kilo</t>
  </si>
  <si>
    <t>Refrigerantes para 500 pessoas</t>
  </si>
  <si>
    <t>Decoração/fotos</t>
  </si>
  <si>
    <t>Coroa de flores</t>
  </si>
  <si>
    <t>Livros kit novos membros e bíblias Genebra 3/3</t>
  </si>
  <si>
    <t>Livros Kit novos membros 1/3</t>
  </si>
  <si>
    <t>Livros classe UPA "Isto é filtro solar"</t>
  </si>
  <si>
    <t>Livros presente aos arquitetos</t>
  </si>
  <si>
    <t xml:space="preserve">Livros ED adulto "Carta os Hebreus" </t>
  </si>
  <si>
    <t>Livros classe família</t>
  </si>
  <si>
    <t>Livros classe UMP</t>
  </si>
  <si>
    <t xml:space="preserve">Revistas ED Infantil </t>
  </si>
  <si>
    <t>Revistas Classe EPA</t>
  </si>
  <si>
    <t>Revistas ED Adultos</t>
  </si>
  <si>
    <t>2 bíblias irmão de Formosa - Pr. Misael 2/2</t>
  </si>
  <si>
    <t>Manual presbiteriano e livros conselho</t>
  </si>
  <si>
    <t xml:space="preserve">Medicina e Segurança do trabalho </t>
  </si>
  <si>
    <t>Papelaria e impressos/ boletins</t>
  </si>
  <si>
    <t>ENVELOPES OFERTAS</t>
  </si>
  <si>
    <t>Cálice e pão da ceia</t>
  </si>
  <si>
    <t>Descartáveis (copos, pratos, talher)</t>
  </si>
  <si>
    <t>Suporte de copos</t>
  </si>
  <si>
    <t>Bebidas reunião assinatura de contrato (area)</t>
  </si>
  <si>
    <t>Cafés para igreja</t>
  </si>
  <si>
    <t>Açucar para igreja - Reembolso</t>
  </si>
  <si>
    <t>Cafés para igreja sala pastoral</t>
  </si>
  <si>
    <t>Papel toalha; higiênico e copos, saco de lixo etc</t>
  </si>
  <si>
    <t>Produtos de limpeza</t>
  </si>
  <si>
    <t>Caixa igreja- café conselho, papelaria, tonner, etc</t>
  </si>
  <si>
    <t>Tonner impressora</t>
  </si>
  <si>
    <t>Uber serviços bançarios</t>
  </si>
  <si>
    <t>Cartório</t>
  </si>
  <si>
    <t>Vivo Móvel</t>
  </si>
  <si>
    <t>Vivo Telefone e Internet</t>
  </si>
  <si>
    <t>Vivo junta diaconal</t>
  </si>
  <si>
    <t>MISSÕES</t>
  </si>
  <si>
    <t>ASELB</t>
  </si>
  <si>
    <t>Gideões</t>
  </si>
  <si>
    <t>Missão Vida</t>
  </si>
  <si>
    <t>Missionários</t>
  </si>
  <si>
    <t>Total missões:</t>
  </si>
  <si>
    <t>CONGRUAS PASTORAIS</t>
  </si>
  <si>
    <t>Adiantamento de Congrua</t>
  </si>
  <si>
    <t>Ajuda de Custo</t>
  </si>
  <si>
    <t>Auxilio Moradia</t>
  </si>
  <si>
    <t xml:space="preserve">Condomínio </t>
  </si>
  <si>
    <t xml:space="preserve">Côngrua </t>
  </si>
  <si>
    <t>FEP</t>
  </si>
  <si>
    <t>INSS</t>
  </si>
  <si>
    <t>IRRF</t>
  </si>
  <si>
    <t>Plano de Saude</t>
  </si>
  <si>
    <t xml:space="preserve">Seguro de vida </t>
  </si>
  <si>
    <t>Bonus decênio</t>
  </si>
  <si>
    <t>Côngrua</t>
  </si>
  <si>
    <t>IRRF 13º</t>
  </si>
  <si>
    <t>13º</t>
  </si>
  <si>
    <t>Férias</t>
  </si>
  <si>
    <t>Ajuda de custo</t>
  </si>
  <si>
    <t>Congrua</t>
  </si>
  <si>
    <t>"Saque" de FEP</t>
  </si>
  <si>
    <t>Ferias</t>
  </si>
  <si>
    <t xml:space="preserve">Ajuda de custo </t>
  </si>
  <si>
    <t>Condominio SPS</t>
  </si>
  <si>
    <t>Mensalidade</t>
  </si>
  <si>
    <t>Moradia</t>
  </si>
  <si>
    <t>Viagem a Rio Preto (passagens onibus)</t>
  </si>
  <si>
    <t>Alimentação Viagem Campinas Rio Preto</t>
  </si>
  <si>
    <t>ALIMENTAÇÃO RIO PRETO</t>
  </si>
  <si>
    <t>Passagem Rio Preto Balsamo</t>
  </si>
  <si>
    <t>Manutenção Moto</t>
  </si>
  <si>
    <t>Almentação na Chácara</t>
  </si>
  <si>
    <t>Higiene pessoal e limpeza/chacara</t>
  </si>
  <si>
    <t>UBER</t>
  </si>
  <si>
    <t>Total Sem. Francisco:</t>
  </si>
  <si>
    <t>Viagem a Rio Preto</t>
  </si>
  <si>
    <t>Manutenção carro</t>
  </si>
  <si>
    <t>Pedagio</t>
  </si>
  <si>
    <t>Alimentação Campinas/Rio Preto</t>
  </si>
  <si>
    <t>Viagem Rio Preto/Guapiaçu</t>
  </si>
  <si>
    <t>Total Sem. Welington:</t>
  </si>
  <si>
    <t>Total Congruas Pastorais:</t>
  </si>
  <si>
    <t>ALESSANDRO</t>
  </si>
  <si>
    <t>Adiantamento de salário</t>
  </si>
  <si>
    <t>Plano de Saúde</t>
  </si>
  <si>
    <t xml:space="preserve">Salário </t>
  </si>
  <si>
    <t>Ticket refeição</t>
  </si>
  <si>
    <t>Total Alessandro:</t>
  </si>
  <si>
    <t>ANA RAMALHO</t>
  </si>
  <si>
    <t>Salário</t>
  </si>
  <si>
    <t>Ticket Refeição</t>
  </si>
  <si>
    <t>Vale transporte</t>
  </si>
  <si>
    <t>Acerto</t>
  </si>
  <si>
    <t>Total Ana:</t>
  </si>
  <si>
    <t>ABNER SANTANA</t>
  </si>
  <si>
    <t>Total Abner:</t>
  </si>
  <si>
    <t>Zeladoria</t>
  </si>
  <si>
    <t>Total Colaboradores:</t>
  </si>
  <si>
    <t>Prip</t>
  </si>
  <si>
    <t>Dizimo ao Supremo Concilio</t>
  </si>
  <si>
    <t>Total Verba Conciliares:</t>
  </si>
  <si>
    <t>Ministério de Transmissão:</t>
  </si>
  <si>
    <t>Verba</t>
  </si>
  <si>
    <t>Fones de ouvido</t>
  </si>
  <si>
    <t xml:space="preserve">Conserto da câmera </t>
  </si>
  <si>
    <t>Transmissor de vídeo</t>
  </si>
  <si>
    <t>Cabo HDMI</t>
  </si>
  <si>
    <t>Total transmissão:</t>
  </si>
  <si>
    <t>A) AÇÃO SOCIAL</t>
  </si>
  <si>
    <t>Junta Diaconal/Açao Social</t>
  </si>
  <si>
    <t>Consulta médica irmão Ulisses</t>
  </si>
  <si>
    <t>Exames irmão Ulisses</t>
  </si>
  <si>
    <t>ANA</t>
  </si>
  <si>
    <t>Ajuda Felipe Bernadino - junta</t>
  </si>
  <si>
    <t>Total Ação Social:</t>
  </si>
  <si>
    <t>B) CHÁCARA</t>
  </si>
  <si>
    <t>Investimento:</t>
  </si>
  <si>
    <t>Trator cortador de grama 6/9</t>
  </si>
  <si>
    <t>Ar-condicionados ap seminaristas</t>
  </si>
  <si>
    <t>Investimento fossa</t>
  </si>
  <si>
    <t xml:space="preserve">Perfuração da fossa </t>
  </si>
  <si>
    <t>Canos</t>
  </si>
  <si>
    <t>Reembolso Alessandro: Vigota</t>
  </si>
  <si>
    <t>Ventiladores chácara</t>
  </si>
  <si>
    <t>Itens para cozinha</t>
  </si>
  <si>
    <t>Colchões ap seminaristas</t>
  </si>
  <si>
    <t>Total investimento:</t>
  </si>
  <si>
    <t>Manutenção:</t>
  </si>
  <si>
    <t xml:space="preserve">Reembolso Alessandro: Gasolina </t>
  </si>
  <si>
    <t>Reembolso Alessandro: Produtos de limpeza</t>
  </si>
  <si>
    <t>Reembolso Alessandro: Cal e gasolina</t>
  </si>
  <si>
    <t>Reembolso Alessandro: Cal, gasolina e inseticida</t>
  </si>
  <si>
    <t>Reembolso Alessandro: Material limpeza</t>
  </si>
  <si>
    <t>Reembolso Alessandro: Ducha</t>
  </si>
  <si>
    <t>Reembolso Alessandro: Areia</t>
  </si>
  <si>
    <t>Reembolso Alessandro: Mangueria</t>
  </si>
  <si>
    <t>Total reembolso Alessandro:</t>
  </si>
  <si>
    <t>Limpeza da fossa</t>
  </si>
  <si>
    <t>Oleo</t>
  </si>
  <si>
    <t>Oleo e lamina trator</t>
  </si>
  <si>
    <t>Serviço Jefferson: Materiais</t>
  </si>
  <si>
    <t>Serviço Jefferson</t>
  </si>
  <si>
    <t>Total serviço Jefferson:</t>
  </si>
  <si>
    <t>Entulho</t>
  </si>
  <si>
    <t>Fita crepe</t>
  </si>
  <si>
    <t>Manutenção e reforma (Ronivan)</t>
  </si>
  <si>
    <t>Manutenção e reforma (Pisos)</t>
  </si>
  <si>
    <t>Manutenção e reforma (Jec Metais)</t>
  </si>
  <si>
    <t>Manutenção e reforma (Concretagem)</t>
  </si>
  <si>
    <t>Manutenção e reforma (Serviço Concretagem)</t>
  </si>
  <si>
    <t>Manutenção e reforma (Calhas)</t>
  </si>
  <si>
    <t>Manutenção e reforma (Gesso)</t>
  </si>
  <si>
    <t>Manutenção e reforma (instalação de gás)</t>
  </si>
  <si>
    <t>Reforma da cozinha</t>
  </si>
  <si>
    <t>Coifa cozinha (2 parcelas)</t>
  </si>
  <si>
    <t>Instalação de ares quarto semi.</t>
  </si>
  <si>
    <t>Espuma</t>
  </si>
  <si>
    <t>Gás chácara acampamento</t>
  </si>
  <si>
    <t xml:space="preserve">Gás chácara </t>
  </si>
  <si>
    <t>Total gás chácara:</t>
  </si>
  <si>
    <t>Frete itens para cozinha</t>
  </si>
  <si>
    <t>Locação de conteiner</t>
  </si>
  <si>
    <t>Total manutenção:</t>
  </si>
  <si>
    <t>Total Chácara:</t>
  </si>
  <si>
    <t>C1) Rev.Misael</t>
  </si>
  <si>
    <t>Reembolso papelaria e software</t>
  </si>
  <si>
    <t>Congresso</t>
  </si>
  <si>
    <t>Total Rev. Misael:</t>
  </si>
  <si>
    <t>C2 ) Rev. Gilbeto</t>
  </si>
  <si>
    <t xml:space="preserve">Total Rev. Gilberto: </t>
  </si>
  <si>
    <t>C3) Rev. Robson</t>
  </si>
  <si>
    <t>Total Rev. Robson:</t>
  </si>
  <si>
    <t>Despesas Lic. Rogério:</t>
  </si>
  <si>
    <t>Ajuda de custo Rogério Cruz</t>
  </si>
  <si>
    <t>Ajuste ajuda de custo Rogério Cruz</t>
  </si>
  <si>
    <t xml:space="preserve">Psicóloga Rogério Cruz </t>
  </si>
  <si>
    <t xml:space="preserve"> C4) Seminarista Francisco</t>
  </si>
  <si>
    <t>Alimentação em Balsamo</t>
  </si>
  <si>
    <t>C5)Seminarista Welington</t>
  </si>
  <si>
    <t>D) IGREJA</t>
  </si>
  <si>
    <t>Entrada/sinal em 17/02/2025</t>
  </si>
  <si>
    <t>Auxiliar de técnico de som</t>
  </si>
  <si>
    <t>Van de Campinas para Rio Preto</t>
  </si>
  <si>
    <t>Alimentação: estrada, almoço, lanche e jantar</t>
  </si>
  <si>
    <t>Logísticas (uber/taxi)</t>
  </si>
  <si>
    <t>Hospedagem banda</t>
  </si>
  <si>
    <t>Oferta</t>
  </si>
  <si>
    <t>Total banda purples:</t>
  </si>
  <si>
    <t>Bolo, refrigerante, decoração etc</t>
  </si>
  <si>
    <t xml:space="preserve">Lembrança à Dona Maria Clara de Oliveira Nascimento, viúva do </t>
  </si>
  <si>
    <t xml:space="preserve">Rev. Nelson do Nascimento, pastor de 11/06/73 a 15/01/74 </t>
  </si>
  <si>
    <t xml:space="preserve">e 12/10 a 23/12/91 e 03/01/95 a 31/12/97 </t>
  </si>
  <si>
    <t>Total bolo, refrigerante, decoração, homenagens:</t>
  </si>
  <si>
    <t>Preletores</t>
  </si>
  <si>
    <t>Rev. Rosther</t>
  </si>
  <si>
    <t>Passagens/transporte</t>
  </si>
  <si>
    <t>Alimentação</t>
  </si>
  <si>
    <t>Hospedagem</t>
  </si>
  <si>
    <t>Presente/lembrança</t>
  </si>
  <si>
    <t>Total Rev. Rosther:</t>
  </si>
  <si>
    <t>Rev. Benones</t>
  </si>
  <si>
    <t>Total Rev. Benones:</t>
  </si>
  <si>
    <t>Total evento/aniversário da Igreja:</t>
  </si>
  <si>
    <t>Floriprev:</t>
  </si>
  <si>
    <t>Abril</t>
  </si>
  <si>
    <t>Maio</t>
  </si>
  <si>
    <t>Total boletins:</t>
  </si>
  <si>
    <t>Preletores/hotel/ofertas:</t>
  </si>
  <si>
    <t>Supermercados:</t>
  </si>
  <si>
    <t>Total supermercado:</t>
  </si>
  <si>
    <t>Material de limpeza:</t>
  </si>
  <si>
    <t>Papel toalh,agua sanita, rodo e tapetes</t>
  </si>
  <si>
    <t>Total material de limpeza:</t>
  </si>
  <si>
    <t>Secretraria:</t>
  </si>
  <si>
    <t>Outros</t>
  </si>
  <si>
    <t>Total secretaria igreja:</t>
  </si>
  <si>
    <t>Telefone:</t>
  </si>
  <si>
    <t>Total telefone:</t>
  </si>
  <si>
    <t>Site da Igreja</t>
  </si>
  <si>
    <t>Site</t>
  </si>
  <si>
    <t>RigthNow Midia</t>
  </si>
  <si>
    <t>SoundClound</t>
  </si>
  <si>
    <t>Total site da igreja:</t>
  </si>
  <si>
    <t>Serviços Gráficos/Recepção</t>
  </si>
  <si>
    <t>Licenças de softwares e sistema</t>
  </si>
  <si>
    <t>Adobe atual</t>
  </si>
  <si>
    <t>Adobe nova assinatura</t>
  </si>
  <si>
    <t>Adesão maquina de cartão</t>
  </si>
  <si>
    <t>Assinatura ZOOM</t>
  </si>
  <si>
    <t>Antivírus computador Pr. Gilberto</t>
  </si>
  <si>
    <t xml:space="preserve">Microsoft </t>
  </si>
  <si>
    <t>Microsoft copilot - reembolso Pr. Misael</t>
  </si>
  <si>
    <t>Assinatura Gama App - reembolso Pr. Misael</t>
  </si>
  <si>
    <t>Movavi</t>
  </si>
  <si>
    <t>PARANAFER</t>
  </si>
  <si>
    <t>Sistema Prover.</t>
  </si>
  <si>
    <t>GOOGLE ONE (E-MAIL E OUTROS SERVIÇOS)</t>
  </si>
  <si>
    <t>PARALLES SOFTWARE - ANUAL</t>
  </si>
  <si>
    <t>CERTIFICADO DIGITAL CNPJ IGREJA</t>
  </si>
  <si>
    <t>TEMPLATE SITE IGREJA - ANUAL</t>
  </si>
  <si>
    <t>Total softwares e sistemas:</t>
  </si>
  <si>
    <t>Seguro igreja 4/4</t>
  </si>
  <si>
    <t>Lanche do Conselho:</t>
  </si>
  <si>
    <t>Pães, embutidos e sucos</t>
  </si>
  <si>
    <t>Pães e embutidos</t>
  </si>
  <si>
    <t>Sucos e cafés</t>
  </si>
  <si>
    <t>Total lanche do conselho:</t>
  </si>
  <si>
    <t>Vigilancia Gomes e Oliveira (marissol):</t>
  </si>
  <si>
    <t xml:space="preserve">Vigia de veículos </t>
  </si>
  <si>
    <t>Outros:</t>
  </si>
  <si>
    <t>Folha sulfite e cabo HDMI (reembolso Pr. Misael)</t>
  </si>
  <si>
    <t>Reembolso Presb. Rogério (conta igreja)</t>
  </si>
  <si>
    <t>Café da manhã junta diaconal maio</t>
  </si>
  <si>
    <t>Passagens arquiteta Aline</t>
  </si>
  <si>
    <t>Apostilas treinamento GIS</t>
  </si>
  <si>
    <t>Cadeiras para Guapiaçu</t>
  </si>
  <si>
    <t>Guarda-chuvas junta diaconal</t>
  </si>
  <si>
    <t>Material evangelistico</t>
  </si>
  <si>
    <t>Passagens Rev. Robson viagem miss. Uruguai</t>
  </si>
  <si>
    <t>VERBA PARA PARTICIPACAO NO NAUPA 2026</t>
  </si>
  <si>
    <t>Verba viagem missionária UMP - Uruguai</t>
  </si>
  <si>
    <t>Uvas artificiais ceia (reembolso Luciene)</t>
  </si>
  <si>
    <t>Reembolso acampamento - irmão Benhur</t>
  </si>
  <si>
    <t>Coletes - futebol dos irmãos</t>
  </si>
  <si>
    <t>Chaves junta diaconal - reembolso Amauri</t>
  </si>
  <si>
    <t xml:space="preserve">Ressarcimento Pr. Misael </t>
  </si>
  <si>
    <t>Total de outros:</t>
  </si>
  <si>
    <t>Total Geral Igreja:</t>
  </si>
  <si>
    <t>Nova Granada:</t>
  </si>
  <si>
    <t>Aluguel Nova Granada</t>
  </si>
  <si>
    <t>Agua e Esgoto Nova Granada</t>
  </si>
  <si>
    <t>Energia Elétrica Nova Granada</t>
  </si>
  <si>
    <t>Material de limpeza Nova Granada</t>
  </si>
  <si>
    <t>Ministérios Nova Granada</t>
  </si>
  <si>
    <t>Seguro Nova Granada 2/4</t>
  </si>
  <si>
    <t>Placa, tomada, cadeado, broca e correia</t>
  </si>
  <si>
    <t>Acento e placa</t>
  </si>
  <si>
    <t>Manutenção Nova Granada:</t>
  </si>
  <si>
    <t>Carimbo Nova Granada</t>
  </si>
  <si>
    <t>Material elétrico</t>
  </si>
  <si>
    <t>Empreiteiro Marcelo</t>
  </si>
  <si>
    <t>Bebedouro</t>
  </si>
  <si>
    <t>Materiais elétricos - reembolso Rogério</t>
  </si>
  <si>
    <t>Cadeiras</t>
  </si>
  <si>
    <t>Instrumentos musicais</t>
  </si>
  <si>
    <t>Tintas</t>
  </si>
  <si>
    <t>Extintores Nova Granada</t>
  </si>
  <si>
    <t>Andaime e capim</t>
  </si>
  <si>
    <t>Marmita e bombeiros</t>
  </si>
  <si>
    <t>Pintor fachada</t>
  </si>
  <si>
    <t>Carpetes</t>
  </si>
  <si>
    <t>Trilho e puxador</t>
  </si>
  <si>
    <t>Madeira</t>
  </si>
  <si>
    <t>Tapeçaria</t>
  </si>
  <si>
    <t>Material para forro nova granada</t>
  </si>
  <si>
    <t>Forro nova granada</t>
  </si>
  <si>
    <t>Eletricista nova granada</t>
  </si>
  <si>
    <t>Drywall nova granada</t>
  </si>
  <si>
    <t>Pintor nova granada</t>
  </si>
  <si>
    <t>Total Nova Granada:</t>
  </si>
  <si>
    <t>E) IMPOSTOS, TARIFAS E JUROS</t>
  </si>
  <si>
    <t>Anuidade cartão de crédito</t>
  </si>
  <si>
    <t xml:space="preserve">Guia da Previdencia Social/ GPS </t>
  </si>
  <si>
    <t>Guia de Recolhimento do FGTS</t>
  </si>
  <si>
    <t>IOF</t>
  </si>
  <si>
    <t>IOF adic rotativo</t>
  </si>
  <si>
    <t>IOF diario rotativo</t>
  </si>
  <si>
    <t>Multa contratual</t>
  </si>
  <si>
    <t>Encardos de mora</t>
  </si>
  <si>
    <t>Encargos atraso</t>
  </si>
  <si>
    <t>Tarifas Bancarias</t>
  </si>
  <si>
    <t>TAXA TRANSFERENCIA PAYPAL</t>
  </si>
  <si>
    <t>Taxas Stone</t>
  </si>
  <si>
    <t>Taxas e-Prover</t>
  </si>
  <si>
    <t>Total Impostos, tarifas e juros:</t>
  </si>
  <si>
    <t>F) MANUTENÇÃO E REFORMA TEMPLO/E.C.C</t>
  </si>
  <si>
    <t>Aquisição de bens:</t>
  </si>
  <si>
    <t>Climatizador</t>
  </si>
  <si>
    <t>AR-CONDICIONADO TEMPLO</t>
  </si>
  <si>
    <t>AR-CONDICIONADO BERCARIO</t>
  </si>
  <si>
    <t>Ar-condicionado sala SAF</t>
  </si>
  <si>
    <t>Ventilador entrada templo</t>
  </si>
  <si>
    <t>Motor novo do portão</t>
  </si>
  <si>
    <t>Total aquisição de bens:</t>
  </si>
  <si>
    <t>Manutenção Geral</t>
  </si>
  <si>
    <t>Mundial elevadores</t>
  </si>
  <si>
    <t>Gás para a igreja</t>
  </si>
  <si>
    <t>Cadeado portão</t>
  </si>
  <si>
    <t>Peças p/ mictório banheiro</t>
  </si>
  <si>
    <t>Bombeiros: brigada, recarga extintores etc</t>
  </si>
  <si>
    <t>Compressor ares-condicionados templo 3/3</t>
  </si>
  <si>
    <t>Serviço - troca de cuba banheiro feminino</t>
  </si>
  <si>
    <t xml:space="preserve">Serviço Jefferson - conserto luzes </t>
  </si>
  <si>
    <t>Serviço Jefferson e materil - tubos caixa d'agua</t>
  </si>
  <si>
    <t xml:space="preserve">Serviço Jefferson - boia e troca da boia caixa d'agua </t>
  </si>
  <si>
    <t>Sensor alarme portão 3/3</t>
  </si>
  <si>
    <t>EletricaBel: painel led</t>
  </si>
  <si>
    <t>Multielétrica: canaleta</t>
  </si>
  <si>
    <t>Multielétrica: canaleta, refletor, compose</t>
  </si>
  <si>
    <t>Multielétrica: drive led e lampadas</t>
  </si>
  <si>
    <t>Multielétrica: refletor</t>
  </si>
  <si>
    <t>Material e serviço Elizeu - instalaçao telão</t>
  </si>
  <si>
    <t>Troca refis bebedouros sec. e templo</t>
  </si>
  <si>
    <t>Gesseiro - tampa buraco ar-condicionado</t>
  </si>
  <si>
    <t>Instalação ar-condicionado sala SAF (Julio)</t>
  </si>
  <si>
    <t>TEK BOND aplicador silicone - reembolso Amauri</t>
  </si>
  <si>
    <t>Conserto porta de vidro secretaria</t>
  </si>
  <si>
    <t>Troca de alarme</t>
  </si>
  <si>
    <t>Dedetização da igreja</t>
  </si>
  <si>
    <t>Luzes jardim - Luis Eletricista</t>
  </si>
  <si>
    <t>Reforma:</t>
  </si>
  <si>
    <t>Fundo aquisição de bens/Construção Nova Area igreja:</t>
  </si>
  <si>
    <t>Entrada aquisição de área - Presb. Antonio</t>
  </si>
  <si>
    <t>Parcela 2/180 aquisição de área</t>
  </si>
  <si>
    <t>Total fundo aquisição/construção nova area:</t>
  </si>
  <si>
    <t>Total geral Manutenção e Reforma:</t>
  </si>
  <si>
    <t>G) MINISTERIOS</t>
  </si>
  <si>
    <t>ACAMPAMENTO</t>
  </si>
  <si>
    <t>Aluguel freezer, forno e cerevejeira</t>
  </si>
  <si>
    <t>Devolução Jefferson Bar - pagou 2x</t>
  </si>
  <si>
    <t>Devolução inscrição Otavio - não foi</t>
  </si>
  <si>
    <t>Reembolso Talita Polotto</t>
  </si>
  <si>
    <t>Reembolso Diac. Cardoso</t>
  </si>
  <si>
    <t xml:space="preserve">Bebidas </t>
  </si>
  <si>
    <t>Apostilas impressas</t>
  </si>
  <si>
    <t>Total acampamento:</t>
  </si>
  <si>
    <t>ALMOXARIFADO</t>
  </si>
  <si>
    <t>CASAIS</t>
  </si>
  <si>
    <t xml:space="preserve">CORAL </t>
  </si>
  <si>
    <t>DEPARTAMENTO INFANTIL</t>
  </si>
  <si>
    <t>EBF</t>
  </si>
  <si>
    <t>1. Abertura e Coral Infantil</t>
  </si>
  <si>
    <t>2. Culto Infantil</t>
  </si>
  <si>
    <t>3. EBD Infantil</t>
  </si>
  <si>
    <t>4. Lembrancinhas</t>
  </si>
  <si>
    <t>5. Verba Auxilio Congresso:</t>
  </si>
  <si>
    <t>Total DP Infantil:</t>
  </si>
  <si>
    <t>ED (adulto)</t>
  </si>
  <si>
    <t>GIS</t>
  </si>
  <si>
    <t>Recepção</t>
  </si>
  <si>
    <t>SAF</t>
  </si>
  <si>
    <t>UCP/EPA</t>
  </si>
  <si>
    <t>UMP</t>
  </si>
  <si>
    <t>UPA</t>
  </si>
  <si>
    <t>UPH</t>
  </si>
  <si>
    <t>Seguro carro missao vida 01/10</t>
  </si>
  <si>
    <t xml:space="preserve">Som e Multimidia </t>
  </si>
  <si>
    <t>MICROFONES</t>
  </si>
  <si>
    <t>Afinação dos pianos</t>
  </si>
  <si>
    <t>Verba som e multimídia</t>
  </si>
  <si>
    <t>Cabos e fones</t>
  </si>
  <si>
    <t>Manutenção mesa de som e caixa</t>
  </si>
  <si>
    <t>Total som e multimídia:</t>
  </si>
  <si>
    <t>Comunicação e Redes sociais:</t>
  </si>
  <si>
    <t>Midias sociais - Lucas Tarrasco</t>
  </si>
  <si>
    <t>Podcast Calvinamente</t>
  </si>
  <si>
    <t>Total comunicação e redes sociais:</t>
  </si>
  <si>
    <t xml:space="preserve">Total Ministérios: </t>
  </si>
  <si>
    <t>I) COLABORADORES</t>
  </si>
  <si>
    <t>J) VERBAS CONCILIARES</t>
  </si>
  <si>
    <t>Total livros:</t>
  </si>
  <si>
    <t>Total de Despesas: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</si>
</sst>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3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rgb="FFFF0000"/>
      <name val="Aptos Narrow"/>
      <scheme val="minor"/>
    </font>
    <font>
      <sz val="14"/>
      <name val="Aptos Narrow"/>
      <scheme val="minor"/>
    </font>
    <font>
      <u/>
      <sz val="14"/>
      <name val="Aptos Narrow"/>
      <scheme val="minor"/>
    </font>
    <font>
      <u/>
      <sz val="14"/>
      <color theme="1"/>
      <name val="Aptos Narrow"/>
      <scheme val="minor"/>
    </font>
    <font>
      <b/>
      <sz val="14"/>
      <name val="Aptos Narrow"/>
      <scheme val="minor"/>
    </font>
    <font>
      <b/>
      <u/>
      <sz val="14"/>
      <color theme="1"/>
      <name val="Aptos Narrow"/>
      <scheme val="minor"/>
    </font>
    <font>
      <b/>
      <u/>
      <sz val="14"/>
      <name val="Aptos Narrow"/>
      <scheme val="minor"/>
    </font>
    <font>
      <b/>
      <u/>
      <sz val="15"/>
      <color theme="1"/>
      <name val="Aptos Narrow"/>
      <scheme val="minor"/>
    </font>
    <font>
      <b/>
      <sz val="15"/>
      <color theme="1"/>
      <name val="Aptos Narrow"/>
      <scheme val="minor"/>
    </font>
    <font>
      <b/>
      <u/>
      <sz val="15"/>
      <name val="Aptos Narrow"/>
      <scheme val="minor"/>
    </font>
    <font>
      <sz val="15"/>
      <name val="Aptos Narrow"/>
      <scheme val="minor"/>
    </font>
    <font>
      <sz val="12"/>
      <color theme="1"/>
      <name val="Aptos Narrow"/>
      <scheme val="minor"/>
    </font>
    <font>
      <sz val="14"/>
      <color rgb="FF000000"/>
      <name val="Aptos Narrow"/>
      <scheme val="minor"/>
    </font>
    <font>
      <b/>
      <sz val="22"/>
      <name val="Aptos Narrow"/>
      <scheme val="minor"/>
    </font>
    <font>
      <sz val="22"/>
      <color theme="1"/>
      <name val="Aptos Narrow"/>
      <scheme val="minor"/>
    </font>
    <font>
      <b/>
      <u/>
      <sz val="18"/>
      <name val="Aptos Narrow"/>
      <scheme val="minor"/>
    </font>
    <font>
      <sz val="16"/>
      <name val="Aptos Narrow"/>
      <scheme val="minor"/>
    </font>
    <font>
      <b/>
      <sz val="22"/>
      <color theme="1"/>
      <name val="Aptos Narrow"/>
      <scheme val="minor"/>
    </font>
    <font>
      <sz val="14"/>
      <name val="Arial"/>
      <family val="2"/>
      <charset val="1"/>
    </font>
    <font>
      <b/>
      <sz val="14"/>
      <name val="Aptos Narrow"/>
      <family val="2"/>
      <scheme val="minor"/>
    </font>
    <font>
      <sz val="12"/>
      <name val="Aptos Narrow"/>
      <scheme val="minor"/>
    </font>
    <font>
      <b/>
      <sz val="16"/>
      <name val="Aptos Narrow"/>
      <scheme val="minor"/>
    </font>
    <font>
      <b/>
      <sz val="14"/>
      <color theme="9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0" fontId="28" fillId="0" borderId="0" xfId="0" applyFont="1"/>
    <xf numFmtId="0" fontId="9" fillId="0" borderId="0" xfId="0" applyFont="1"/>
    <xf numFmtId="0" fontId="29" fillId="2" borderId="0" xfId="0" applyFont="1" applyFill="1" applyAlignment="1">
      <alignment horizontal="left"/>
    </xf>
    <xf numFmtId="164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164" fontId="9" fillId="0" borderId="0" xfId="0" applyNumberFormat="1" applyFont="1"/>
    <xf numFmtId="164" fontId="12" fillId="0" borderId="0" xfId="0" applyNumberFormat="1" applyFont="1"/>
    <xf numFmtId="0" fontId="9" fillId="0" borderId="0" xfId="0" applyFont="1" applyAlignment="1">
      <alignment horizontal="left" wrapText="1"/>
    </xf>
    <xf numFmtId="0" fontId="12" fillId="2" borderId="0" xfId="0" applyFont="1" applyFill="1" applyAlignment="1">
      <alignment horizontal="left" wrapText="1"/>
    </xf>
    <xf numFmtId="164" fontId="12" fillId="2" borderId="0" xfId="0" applyNumberFormat="1" applyFont="1" applyFill="1"/>
    <xf numFmtId="164" fontId="9" fillId="2" borderId="0" xfId="0" applyNumberFormat="1" applyFont="1" applyFill="1"/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164" fontId="5" fillId="0" borderId="0" xfId="0" applyNumberFormat="1" applyFont="1"/>
    <xf numFmtId="0" fontId="6" fillId="0" borderId="0" xfId="0" applyFont="1" applyAlignment="1">
      <alignment horizontal="left" wrapText="1"/>
    </xf>
    <xf numFmtId="0" fontId="19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0" fontId="15" fillId="0" borderId="0" xfId="0" applyFont="1" applyAlignment="1">
      <alignment horizontal="left" wrapText="1"/>
    </xf>
    <xf numFmtId="164" fontId="5" fillId="0" borderId="0" xfId="0" applyNumberFormat="1" applyFont="1" applyAlignment="1">
      <alignment horizontal="right"/>
    </xf>
    <xf numFmtId="0" fontId="13" fillId="0" borderId="0" xfId="0" applyFont="1" applyAlignment="1">
      <alignment horizontal="left" wrapText="1"/>
    </xf>
    <xf numFmtId="0" fontId="11" fillId="0" borderId="0" xfId="0" applyFont="1" applyAlignment="1">
      <alignment horizontal="left" wrapText="1"/>
    </xf>
    <xf numFmtId="164" fontId="5" fillId="0" borderId="0" xfId="2" applyNumberFormat="1" applyFont="1" applyFill="1" applyBorder="1"/>
    <xf numFmtId="164" fontId="5" fillId="0" borderId="0" xfId="2" applyNumberFormat="1" applyFont="1" applyFill="1" applyBorder="1" applyAlignment="1">
      <alignment horizontal="right"/>
    </xf>
    <xf numFmtId="49" fontId="0" fillId="0" borderId="0" xfId="0" applyNumberFormat="1"/>
    <xf numFmtId="164" fontId="27" fillId="0" borderId="0" xfId="0" applyNumberFormat="1" applyFont="1" applyAlignment="1">
      <alignment horizontal="right"/>
    </xf>
    <xf numFmtId="0" fontId="14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21" fillId="0" borderId="0" xfId="0" applyFont="1" applyAlignment="1">
      <alignment horizontal="left" wrapText="1"/>
    </xf>
    <xf numFmtId="0" fontId="22" fillId="0" borderId="0" xfId="0" applyFont="1"/>
    <xf numFmtId="0" fontId="20" fillId="0" borderId="0" xfId="0" applyFont="1"/>
    <xf numFmtId="0" fontId="24" fillId="0" borderId="0" xfId="0" applyFont="1" applyAlignment="1">
      <alignment horizontal="left" wrapText="1"/>
    </xf>
    <xf numFmtId="0" fontId="23" fillId="0" borderId="0" xfId="0" applyFont="1" applyAlignment="1">
      <alignment horizontal="left" wrapText="1"/>
    </xf>
    <xf numFmtId="0" fontId="12" fillId="0" borderId="0" xfId="1" applyFont="1" applyAlignment="1">
      <alignment horizontal="left" wrapText="1"/>
    </xf>
    <xf numFmtId="164" fontId="26" fillId="0" borderId="0" xfId="0" applyNumberFormat="1" applyFont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left" wrapText="1"/>
    </xf>
    <xf numFmtId="4" fontId="0" fillId="0" borderId="0" xfId="0" applyNumberFormat="1"/>
    <xf numFmtId="164" fontId="27" fillId="0" borderId="0" xfId="0" applyNumberFormat="1" applyFont="1"/>
    <xf numFmtId="0" fontId="16" fillId="0" borderId="0" xfId="0" applyFont="1" applyAlignment="1">
      <alignment horizontal="left"/>
    </xf>
    <xf numFmtId="164" fontId="8" fillId="0" borderId="0" xfId="0" applyNumberFormat="1" applyFont="1"/>
    <xf numFmtId="164" fontId="30" fillId="0" borderId="0" xfId="0" applyNumberFormat="1" applyFont="1"/>
  </cellXfs>
  <cellStyles count="3">
    <cellStyle name="Moeda" xfId="2" builtinId="4"/>
    <cellStyle name="Normal" xfId="0" builtinId="0"/>
    <cellStyle name="Normal 2" xfId="1" xr:uid="{840D84C3-44C0-3948-ACE6-BCC166B5BD1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82D5-D84F-B045-BECE-7C3FDA2A9A7E}">
  <dimension ref="A1:O518"/>
  <sheetViews>
    <sheetView tabSelected="1" zoomScaleNormal="100" workbookViewId="0">
      <pane xSplit="1" topLeftCell="C1" activePane="topRight" state="frozen"/>
      <selection pane="topRight" activeCell="G11" sqref="G11"/>
    </sheetView>
  </sheetViews>
  <sheetFormatPr baseColWidth="10" defaultColWidth="11" defaultRowHeight="16"/>
  <cols>
    <col min="1" max="1" width="44.5" style="18" customWidth="1"/>
    <col min="2" max="2" width="16.33203125" customWidth="1"/>
    <col min="3" max="3" width="16.6640625" customWidth="1"/>
    <col min="4" max="4" width="15.83203125" customWidth="1"/>
    <col min="5" max="5" width="18" customWidth="1"/>
    <col min="6" max="6" width="15.83203125" customWidth="1"/>
    <col min="7" max="7" width="15" bestFit="1" customWidth="1"/>
    <col min="8" max="8" width="16.5" customWidth="1"/>
    <col min="9" max="9" width="16.83203125" customWidth="1"/>
    <col min="10" max="10" width="16.5" customWidth="1"/>
    <col min="11" max="11" width="15.83203125" customWidth="1"/>
    <col min="12" max="12" width="16.5" customWidth="1"/>
    <col min="13" max="13" width="15" bestFit="1" customWidth="1"/>
    <col min="14" max="15" width="16.83203125" bestFit="1" customWidth="1"/>
  </cols>
  <sheetData>
    <row r="1" spans="1:14" ht="29">
      <c r="A1" s="23" t="s">
        <v>13</v>
      </c>
      <c r="B1" s="24" t="s">
        <v>0</v>
      </c>
      <c r="C1" s="24" t="s">
        <v>1</v>
      </c>
      <c r="D1" s="24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9</v>
      </c>
      <c r="L1" s="24" t="s">
        <v>10</v>
      </c>
      <c r="M1" s="24" t="s">
        <v>11</v>
      </c>
      <c r="N1" s="25"/>
    </row>
    <row r="2" spans="1:14" ht="20">
      <c r="A2" s="26" t="s">
        <v>132</v>
      </c>
      <c r="B2" s="27"/>
      <c r="C2" s="28"/>
      <c r="D2" s="27"/>
      <c r="E2" s="27"/>
      <c r="F2" s="28"/>
      <c r="G2" s="27"/>
      <c r="H2" s="27"/>
      <c r="I2" s="27"/>
      <c r="J2" s="27"/>
      <c r="K2" s="27"/>
      <c r="L2" s="27"/>
      <c r="M2" s="27"/>
      <c r="N2" s="27"/>
    </row>
    <row r="3" spans="1:14" ht="19">
      <c r="A3" s="19" t="s">
        <v>14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>
        <v>7686.33</v>
      </c>
      <c r="N3" s="8"/>
    </row>
    <row r="4" spans="1:14" ht="20">
      <c r="A4" s="15" t="s">
        <v>133</v>
      </c>
      <c r="B4" s="16">
        <v>0</v>
      </c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1831.11</v>
      </c>
      <c r="I4" s="16">
        <v>3654.18</v>
      </c>
      <c r="J4" s="16">
        <v>35</v>
      </c>
      <c r="K4" s="16">
        <v>5529.06</v>
      </c>
      <c r="L4" s="16">
        <v>2550</v>
      </c>
      <c r="M4" s="16">
        <v>400</v>
      </c>
      <c r="N4" s="8"/>
    </row>
    <row r="5" spans="1:14" ht="20">
      <c r="A5" s="15" t="s">
        <v>16</v>
      </c>
      <c r="B5" s="16">
        <v>600</v>
      </c>
      <c r="C5" s="16">
        <v>0</v>
      </c>
      <c r="D5" s="16">
        <v>525</v>
      </c>
      <c r="E5" s="16">
        <v>0</v>
      </c>
      <c r="F5" s="16">
        <v>0</v>
      </c>
      <c r="G5" s="16">
        <v>0</v>
      </c>
      <c r="H5" s="16">
        <v>600</v>
      </c>
      <c r="I5" s="16"/>
      <c r="J5" s="16"/>
      <c r="K5" s="16"/>
      <c r="L5" s="16">
        <v>500</v>
      </c>
      <c r="M5" s="16"/>
      <c r="N5" s="8"/>
    </row>
    <row r="6" spans="1:14" ht="20">
      <c r="A6" s="15" t="s">
        <v>134</v>
      </c>
      <c r="B6" s="16">
        <v>0</v>
      </c>
      <c r="C6" s="16">
        <v>0</v>
      </c>
      <c r="D6" s="16">
        <v>500</v>
      </c>
      <c r="E6" s="16">
        <v>0</v>
      </c>
      <c r="F6" s="16">
        <v>0</v>
      </c>
      <c r="G6" s="16">
        <v>0</v>
      </c>
      <c r="H6" s="16"/>
      <c r="I6" s="16"/>
      <c r="J6" s="16"/>
      <c r="K6" s="16"/>
      <c r="L6" s="16"/>
      <c r="M6" s="16"/>
      <c r="N6" s="8"/>
    </row>
    <row r="7" spans="1:14" ht="20">
      <c r="A7" s="15" t="s">
        <v>135</v>
      </c>
      <c r="B7" s="16">
        <v>0</v>
      </c>
      <c r="C7" s="16">
        <v>0</v>
      </c>
      <c r="D7" s="16">
        <v>64</v>
      </c>
      <c r="E7" s="16">
        <v>0</v>
      </c>
      <c r="F7" s="16">
        <v>0</v>
      </c>
      <c r="G7" s="16">
        <v>0</v>
      </c>
      <c r="H7" s="16"/>
      <c r="I7" s="16"/>
      <c r="J7" s="16"/>
      <c r="K7" s="16"/>
      <c r="L7" s="16"/>
      <c r="M7" s="16"/>
      <c r="N7" s="8"/>
    </row>
    <row r="8" spans="1:14" ht="20">
      <c r="A8" s="15" t="s">
        <v>136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>
        <v>1811.72</v>
      </c>
      <c r="M8" s="16">
        <v>1811.72</v>
      </c>
      <c r="N8" s="8"/>
    </row>
    <row r="9" spans="1:14" ht="20">
      <c r="A9" s="15" t="s">
        <v>137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  <c r="G9" s="16">
        <v>1500</v>
      </c>
      <c r="H9" s="16"/>
      <c r="I9" s="16"/>
      <c r="J9" s="16"/>
      <c r="K9" s="16"/>
      <c r="L9" s="16"/>
      <c r="M9" s="16"/>
      <c r="N9" s="8"/>
    </row>
    <row r="10" spans="1:14" ht="18" customHeight="1">
      <c r="A10" s="17" t="s">
        <v>138</v>
      </c>
      <c r="B10" s="29">
        <f>SUM(B2:B9)</f>
        <v>600</v>
      </c>
      <c r="C10" s="29">
        <f t="shared" ref="C10:M10" si="0">SUM(C2:C9)</f>
        <v>0</v>
      </c>
      <c r="D10" s="29">
        <f t="shared" si="0"/>
        <v>1089</v>
      </c>
      <c r="E10" s="29">
        <f t="shared" si="0"/>
        <v>0</v>
      </c>
      <c r="F10" s="29">
        <f t="shared" si="0"/>
        <v>0</v>
      </c>
      <c r="G10" s="29">
        <f t="shared" si="0"/>
        <v>1500</v>
      </c>
      <c r="H10" s="29">
        <f t="shared" si="0"/>
        <v>2431.1099999999997</v>
      </c>
      <c r="I10" s="29">
        <f t="shared" si="0"/>
        <v>3654.18</v>
      </c>
      <c r="J10" s="29">
        <f t="shared" si="0"/>
        <v>35</v>
      </c>
      <c r="K10" s="29">
        <f t="shared" si="0"/>
        <v>5529.06</v>
      </c>
      <c r="L10" s="29">
        <f t="shared" si="0"/>
        <v>4861.72</v>
      </c>
      <c r="M10" s="29">
        <f t="shared" si="0"/>
        <v>9898.0499999999993</v>
      </c>
      <c r="N10" s="55">
        <f>SUM(B10:M10)</f>
        <v>29598.12</v>
      </c>
    </row>
    <row r="11" spans="1:14" ht="21">
      <c r="A11" s="30" t="s">
        <v>139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31"/>
    </row>
    <row r="12" spans="1:14" ht="19">
      <c r="A12" s="32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</row>
    <row r="13" spans="1:14" ht="21" customHeight="1">
      <c r="A13" s="15" t="s">
        <v>19</v>
      </c>
      <c r="B13" s="16">
        <v>860.89</v>
      </c>
      <c r="C13" s="16">
        <v>1355.68</v>
      </c>
      <c r="D13" s="16">
        <v>856.66</v>
      </c>
      <c r="E13" s="16">
        <v>1997.57</v>
      </c>
      <c r="F13" s="16">
        <v>1031.5999999999999</v>
      </c>
      <c r="G13" s="16">
        <v>1964.89</v>
      </c>
      <c r="H13" s="16">
        <v>1696.82</v>
      </c>
      <c r="I13" s="16">
        <v>509.75</v>
      </c>
      <c r="J13" s="16">
        <v>1063.27</v>
      </c>
      <c r="K13" s="16">
        <v>1015.33</v>
      </c>
      <c r="L13" s="16">
        <v>1664.32</v>
      </c>
      <c r="M13" s="16">
        <v>1027.93</v>
      </c>
      <c r="N13" s="8"/>
    </row>
    <row r="14" spans="1:14" ht="20">
      <c r="A14" s="17" t="s">
        <v>140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8"/>
    </row>
    <row r="15" spans="1:14" ht="22" customHeight="1">
      <c r="A15" s="15" t="s">
        <v>141</v>
      </c>
      <c r="B15" s="16">
        <v>2850</v>
      </c>
      <c r="C15" s="16">
        <v>2850</v>
      </c>
      <c r="D15" s="16">
        <v>2850</v>
      </c>
      <c r="E15" s="16">
        <v>2850</v>
      </c>
      <c r="F15" s="16">
        <v>2850</v>
      </c>
      <c r="G15" s="16">
        <v>2850</v>
      </c>
      <c r="H15" s="16">
        <v>2850</v>
      </c>
      <c r="I15" s="16">
        <v>2850</v>
      </c>
      <c r="J15" s="16">
        <v>2850</v>
      </c>
      <c r="K15" s="16"/>
      <c r="L15" s="16"/>
      <c r="M15" s="16"/>
      <c r="N15" s="8"/>
    </row>
    <row r="16" spans="1:14" ht="22" customHeight="1">
      <c r="A16" s="15" t="s">
        <v>142</v>
      </c>
      <c r="B16" s="16">
        <v>5699.67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/>
      <c r="I16" s="16"/>
      <c r="J16" s="16"/>
      <c r="K16" s="16"/>
      <c r="L16" s="16"/>
      <c r="M16" s="16"/>
      <c r="N16" s="8"/>
    </row>
    <row r="17" spans="1:14" ht="22" customHeight="1">
      <c r="A17" s="15" t="s">
        <v>143</v>
      </c>
      <c r="B17" s="16">
        <v>0</v>
      </c>
      <c r="C17" s="16">
        <v>0</v>
      </c>
      <c r="D17" s="16">
        <v>0</v>
      </c>
      <c r="E17" s="16">
        <v>0</v>
      </c>
      <c r="F17" s="16">
        <v>2212</v>
      </c>
      <c r="G17" s="16">
        <v>0</v>
      </c>
      <c r="H17" s="16"/>
      <c r="I17" s="16"/>
      <c r="J17" s="16"/>
      <c r="K17" s="16"/>
      <c r="L17" s="16"/>
      <c r="M17" s="16"/>
      <c r="N17" s="8"/>
    </row>
    <row r="18" spans="1:14" ht="22" customHeight="1">
      <c r="A18" s="15" t="s">
        <v>144</v>
      </c>
      <c r="B18" s="16">
        <v>0</v>
      </c>
      <c r="C18" s="16">
        <v>0</v>
      </c>
      <c r="D18" s="16">
        <v>0</v>
      </c>
      <c r="E18" s="16">
        <v>0</v>
      </c>
      <c r="F18" s="16">
        <v>3800</v>
      </c>
      <c r="G18" s="16">
        <v>0</v>
      </c>
      <c r="H18" s="16"/>
      <c r="I18" s="16"/>
      <c r="J18" s="16"/>
      <c r="K18" s="16"/>
      <c r="L18" s="16"/>
      <c r="M18" s="16"/>
      <c r="N18" s="8"/>
    </row>
    <row r="19" spans="1:14" ht="22" customHeight="1">
      <c r="A19" s="15" t="s">
        <v>145</v>
      </c>
      <c r="B19" s="16">
        <v>0</v>
      </c>
      <c r="C19" s="16">
        <v>0</v>
      </c>
      <c r="D19" s="16">
        <v>0</v>
      </c>
      <c r="E19" s="16">
        <v>0</v>
      </c>
      <c r="F19" s="16">
        <v>212.9</v>
      </c>
      <c r="G19" s="16">
        <v>0</v>
      </c>
      <c r="H19" s="16"/>
      <c r="I19" s="16"/>
      <c r="J19" s="16"/>
      <c r="K19" s="16"/>
      <c r="L19" s="16"/>
      <c r="M19" s="16"/>
      <c r="N19" s="8"/>
    </row>
    <row r="20" spans="1:14" ht="22" customHeight="1">
      <c r="A20" s="15" t="s">
        <v>146</v>
      </c>
      <c r="B20" s="16">
        <v>0</v>
      </c>
      <c r="C20" s="16">
        <v>0</v>
      </c>
      <c r="D20" s="16">
        <v>0</v>
      </c>
      <c r="E20" s="16">
        <v>0</v>
      </c>
      <c r="F20" s="16">
        <v>166.32</v>
      </c>
      <c r="G20" s="16">
        <v>0</v>
      </c>
      <c r="H20" s="16"/>
      <c r="I20" s="16"/>
      <c r="J20" s="16"/>
      <c r="K20" s="16"/>
      <c r="L20" s="16"/>
      <c r="M20" s="16"/>
      <c r="N20" s="8"/>
    </row>
    <row r="21" spans="1:14" ht="22" customHeight="1">
      <c r="A21" s="15" t="s">
        <v>147</v>
      </c>
      <c r="B21" s="16">
        <v>0</v>
      </c>
      <c r="C21" s="16">
        <v>0</v>
      </c>
      <c r="D21" s="16">
        <v>0</v>
      </c>
      <c r="E21" s="16">
        <v>0</v>
      </c>
      <c r="F21" s="16">
        <v>735.06</v>
      </c>
      <c r="G21" s="16">
        <v>0</v>
      </c>
      <c r="H21" s="16"/>
      <c r="I21" s="16"/>
      <c r="J21" s="16"/>
      <c r="K21" s="16"/>
      <c r="L21" s="16"/>
      <c r="M21" s="16"/>
      <c r="N21" s="8"/>
    </row>
    <row r="22" spans="1:14" ht="22" customHeight="1">
      <c r="A22" s="15" t="s">
        <v>148</v>
      </c>
      <c r="B22" s="16">
        <v>0</v>
      </c>
      <c r="C22" s="16">
        <v>0</v>
      </c>
      <c r="D22" s="16">
        <v>0</v>
      </c>
      <c r="E22" s="16">
        <v>3400</v>
      </c>
      <c r="F22" s="16">
        <v>0</v>
      </c>
      <c r="G22" s="16">
        <v>0</v>
      </c>
      <c r="H22" s="16"/>
      <c r="I22" s="16"/>
      <c r="J22" s="16"/>
      <c r="K22" s="16"/>
      <c r="L22" s="16"/>
      <c r="M22" s="16"/>
      <c r="N22" s="8"/>
    </row>
    <row r="23" spans="1:14" ht="20">
      <c r="A23" s="15" t="s">
        <v>149</v>
      </c>
      <c r="B23" s="16">
        <v>1200</v>
      </c>
      <c r="C23" s="16">
        <v>0</v>
      </c>
      <c r="D23" s="16">
        <v>0</v>
      </c>
      <c r="E23" s="16">
        <v>1150</v>
      </c>
      <c r="F23" s="16">
        <v>0</v>
      </c>
      <c r="G23" s="16">
        <v>0</v>
      </c>
      <c r="H23" s="16"/>
      <c r="I23" s="16"/>
      <c r="J23" s="16"/>
      <c r="K23" s="16"/>
      <c r="L23" s="16"/>
      <c r="M23" s="16"/>
      <c r="N23" s="8"/>
    </row>
    <row r="24" spans="1:14" ht="20">
      <c r="A24" s="17" t="s">
        <v>150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8"/>
    </row>
    <row r="25" spans="1:14" ht="20">
      <c r="A25" s="17" t="s">
        <v>151</v>
      </c>
      <c r="B25" s="16"/>
      <c r="C25" s="16"/>
      <c r="D25" s="16"/>
      <c r="E25" s="16"/>
      <c r="F25" s="16"/>
      <c r="G25" s="16"/>
      <c r="H25" s="16">
        <v>739</v>
      </c>
      <c r="I25" s="16"/>
      <c r="J25" s="16">
        <v>925.88</v>
      </c>
      <c r="K25" s="16">
        <v>2585</v>
      </c>
      <c r="L25" s="16"/>
      <c r="M25" s="16">
        <v>782.25</v>
      </c>
      <c r="N25" s="8"/>
    </row>
    <row r="26" spans="1:14" ht="22" customHeight="1">
      <c r="A26" s="15" t="s">
        <v>152</v>
      </c>
      <c r="B26" s="16">
        <v>250.08</v>
      </c>
      <c r="C26" s="16">
        <v>0</v>
      </c>
      <c r="D26" s="16">
        <v>0</v>
      </c>
      <c r="E26" s="16">
        <v>150</v>
      </c>
      <c r="F26" s="16">
        <v>100</v>
      </c>
      <c r="G26" s="16">
        <v>0</v>
      </c>
      <c r="H26" s="16"/>
      <c r="I26" s="16"/>
      <c r="J26" s="16">
        <v>139.99</v>
      </c>
      <c r="K26" s="16"/>
      <c r="L26" s="16"/>
      <c r="M26" s="16"/>
      <c r="N26" s="8"/>
    </row>
    <row r="27" spans="1:14" ht="23" customHeight="1">
      <c r="A27" s="15" t="s">
        <v>153</v>
      </c>
      <c r="B27" s="16">
        <v>276.36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1524</v>
      </c>
      <c r="I27" s="16"/>
      <c r="J27" s="16"/>
      <c r="K27" s="16"/>
      <c r="L27" s="16"/>
      <c r="M27" s="16"/>
      <c r="N27" s="8"/>
    </row>
    <row r="28" spans="1:14" ht="23" customHeight="1">
      <c r="A28" s="15" t="s">
        <v>154</v>
      </c>
      <c r="B28" s="16">
        <v>263.05</v>
      </c>
      <c r="C28" s="16">
        <v>577.12</v>
      </c>
      <c r="D28" s="16">
        <v>453.07</v>
      </c>
      <c r="E28" s="16">
        <v>0</v>
      </c>
      <c r="F28" s="16">
        <v>296.02999999999997</v>
      </c>
      <c r="G28" s="16">
        <v>0</v>
      </c>
      <c r="H28" s="16">
        <v>447.5</v>
      </c>
      <c r="I28" s="16"/>
      <c r="J28" s="16"/>
      <c r="K28" s="16">
        <v>495.88</v>
      </c>
      <c r="L28" s="16">
        <v>306</v>
      </c>
      <c r="M28" s="16"/>
      <c r="N28" s="8"/>
    </row>
    <row r="29" spans="1:14" ht="23" customHeight="1">
      <c r="A29" s="15" t="s">
        <v>155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>
        <v>390.71</v>
      </c>
      <c r="H29" s="16"/>
      <c r="I29" s="16"/>
      <c r="J29" s="16"/>
      <c r="K29" s="16"/>
      <c r="L29" s="16"/>
      <c r="M29" s="16"/>
      <c r="N29" s="8"/>
    </row>
    <row r="30" spans="1:14" ht="20">
      <c r="A30" s="15" t="s">
        <v>156</v>
      </c>
      <c r="B30" s="16">
        <v>0</v>
      </c>
      <c r="C30" s="16">
        <v>0</v>
      </c>
      <c r="D30" s="16">
        <v>0</v>
      </c>
      <c r="E30" s="16">
        <v>0</v>
      </c>
      <c r="F30" s="16">
        <v>0</v>
      </c>
      <c r="G30" s="16">
        <v>296.05</v>
      </c>
      <c r="H30" s="16"/>
      <c r="I30" s="16"/>
      <c r="J30" s="16"/>
      <c r="K30" s="16"/>
      <c r="L30" s="16"/>
      <c r="M30" s="16"/>
      <c r="N30" s="8"/>
    </row>
    <row r="31" spans="1:14" ht="20">
      <c r="A31" s="15" t="s">
        <v>157</v>
      </c>
      <c r="B31" s="16">
        <v>0</v>
      </c>
      <c r="C31" s="16">
        <v>221.6</v>
      </c>
      <c r="D31" s="16">
        <v>0</v>
      </c>
      <c r="E31" s="16">
        <v>711.46</v>
      </c>
      <c r="F31" s="16">
        <v>0</v>
      </c>
      <c r="G31" s="16">
        <v>0</v>
      </c>
      <c r="H31" s="16"/>
      <c r="I31" s="16"/>
      <c r="J31" s="16"/>
      <c r="K31" s="16"/>
      <c r="L31" s="16"/>
      <c r="M31" s="16"/>
      <c r="N31" s="8"/>
    </row>
    <row r="32" spans="1:14" ht="20">
      <c r="A32" s="15" t="s">
        <v>158</v>
      </c>
      <c r="B32" s="16">
        <v>96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/>
      <c r="I32" s="16"/>
      <c r="J32" s="16"/>
      <c r="K32" s="16"/>
      <c r="L32" s="16"/>
      <c r="M32" s="16"/>
      <c r="N32" s="8"/>
    </row>
    <row r="33" spans="1:14" ht="20">
      <c r="A33" s="15" t="s">
        <v>159</v>
      </c>
      <c r="B33" s="16">
        <v>0</v>
      </c>
      <c r="C33" s="16">
        <v>0</v>
      </c>
      <c r="D33" s="16">
        <v>498.71</v>
      </c>
      <c r="E33" s="16">
        <v>0</v>
      </c>
      <c r="F33" s="16">
        <v>0</v>
      </c>
      <c r="G33" s="16">
        <v>0</v>
      </c>
      <c r="H33" s="16"/>
      <c r="I33" s="16"/>
      <c r="J33" s="16"/>
      <c r="K33" s="16"/>
      <c r="L33" s="16"/>
      <c r="M33" s="16"/>
      <c r="N33" s="8"/>
    </row>
    <row r="34" spans="1:14" ht="20">
      <c r="A34" s="33" t="s">
        <v>160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8"/>
    </row>
    <row r="35" spans="1:14" ht="24" customHeight="1">
      <c r="A35" s="15" t="s">
        <v>161</v>
      </c>
      <c r="B35" s="16">
        <v>550</v>
      </c>
      <c r="C35" s="16">
        <v>550</v>
      </c>
      <c r="D35" s="16">
        <v>2211.17</v>
      </c>
      <c r="E35" s="16">
        <v>1400</v>
      </c>
      <c r="F35" s="16">
        <v>3000</v>
      </c>
      <c r="G35" s="16">
        <v>600</v>
      </c>
      <c r="H35" s="16"/>
      <c r="I35" s="16"/>
      <c r="J35" s="16"/>
      <c r="K35" s="16"/>
      <c r="L35" s="16"/>
      <c r="M35" s="16"/>
      <c r="N35" s="31"/>
    </row>
    <row r="36" spans="1:14" ht="24" customHeight="1">
      <c r="A36" s="15" t="s">
        <v>162</v>
      </c>
      <c r="B36" s="16">
        <v>78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/>
      <c r="I36" s="16"/>
      <c r="J36" s="16"/>
      <c r="K36" s="16"/>
      <c r="L36" s="16"/>
      <c r="M36" s="16"/>
      <c r="N36" s="31"/>
    </row>
    <row r="37" spans="1:14" ht="24" customHeight="1">
      <c r="A37" s="15" t="s">
        <v>163</v>
      </c>
      <c r="B37" s="16">
        <v>0</v>
      </c>
      <c r="C37" s="16">
        <v>0</v>
      </c>
      <c r="D37" s="16">
        <v>0</v>
      </c>
      <c r="E37" s="16">
        <v>0</v>
      </c>
      <c r="F37" s="16">
        <v>558</v>
      </c>
      <c r="G37" s="16">
        <v>0</v>
      </c>
      <c r="H37" s="16"/>
      <c r="I37" s="16"/>
      <c r="J37" s="16"/>
      <c r="K37" s="16"/>
      <c r="L37" s="16"/>
      <c r="M37" s="16">
        <v>619</v>
      </c>
      <c r="N37" s="31"/>
    </row>
    <row r="38" spans="1:14" ht="25" customHeight="1">
      <c r="A38" s="15" t="s">
        <v>164</v>
      </c>
      <c r="B38" s="16">
        <v>0</v>
      </c>
      <c r="C38" s="16">
        <v>0</v>
      </c>
      <c r="D38" s="16">
        <v>260</v>
      </c>
      <c r="E38" s="16">
        <v>0</v>
      </c>
      <c r="F38" s="16">
        <v>0</v>
      </c>
      <c r="G38" s="16">
        <v>0</v>
      </c>
      <c r="H38" s="16"/>
      <c r="I38" s="16"/>
      <c r="J38" s="16"/>
      <c r="K38" s="16"/>
      <c r="L38" s="16"/>
      <c r="M38" s="16"/>
      <c r="N38" s="31"/>
    </row>
    <row r="39" spans="1:14" ht="20">
      <c r="A39" s="15" t="s">
        <v>165</v>
      </c>
      <c r="B39" s="16">
        <v>0</v>
      </c>
      <c r="C39" s="16">
        <v>0</v>
      </c>
      <c r="D39" s="16">
        <v>150</v>
      </c>
      <c r="E39" s="16">
        <v>0</v>
      </c>
      <c r="F39" s="16">
        <v>0</v>
      </c>
      <c r="G39" s="16">
        <v>0</v>
      </c>
      <c r="H39" s="16"/>
      <c r="I39" s="16"/>
      <c r="J39" s="16">
        <v>130</v>
      </c>
      <c r="K39" s="16"/>
      <c r="L39" s="16"/>
      <c r="M39" s="16"/>
      <c r="N39" s="31"/>
    </row>
    <row r="40" spans="1:14" ht="24" customHeight="1">
      <c r="A40" s="33" t="s">
        <v>166</v>
      </c>
      <c r="B40" s="16">
        <v>0</v>
      </c>
      <c r="C40" s="16">
        <v>0</v>
      </c>
      <c r="D40" s="16">
        <f>SUM(D38:D39)</f>
        <v>410</v>
      </c>
      <c r="E40" s="16">
        <v>0</v>
      </c>
      <c r="F40" s="16">
        <v>0</v>
      </c>
      <c r="G40" s="16">
        <v>0</v>
      </c>
      <c r="H40" s="16"/>
      <c r="I40" s="16"/>
      <c r="J40" s="16"/>
      <c r="K40" s="16"/>
      <c r="L40" s="16"/>
      <c r="M40" s="16"/>
      <c r="N40" s="31"/>
    </row>
    <row r="41" spans="1:14" ht="24" customHeight="1">
      <c r="A41" s="15" t="s">
        <v>167</v>
      </c>
      <c r="B41" s="16">
        <v>4140</v>
      </c>
      <c r="C41" s="16">
        <v>0</v>
      </c>
      <c r="D41" s="16">
        <v>0</v>
      </c>
      <c r="E41" s="16">
        <v>0</v>
      </c>
      <c r="F41" s="16">
        <v>0</v>
      </c>
      <c r="G41" s="16">
        <v>0</v>
      </c>
      <c r="H41" s="16"/>
      <c r="I41" s="16"/>
      <c r="J41" s="16"/>
      <c r="K41" s="16"/>
      <c r="L41" s="16"/>
      <c r="M41" s="16"/>
      <c r="N41" s="31"/>
    </row>
    <row r="42" spans="1:14" ht="23" customHeight="1">
      <c r="A42" s="15" t="s">
        <v>168</v>
      </c>
      <c r="B42" s="16">
        <v>64.5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/>
      <c r="I42" s="16"/>
      <c r="J42" s="16"/>
      <c r="K42" s="16"/>
      <c r="L42" s="16"/>
      <c r="M42" s="16"/>
      <c r="N42" s="31"/>
    </row>
    <row r="43" spans="1:14" ht="20">
      <c r="A43" s="15" t="s">
        <v>169</v>
      </c>
      <c r="B43" s="16">
        <v>3500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/>
      <c r="I43" s="16"/>
      <c r="J43" s="16"/>
      <c r="K43" s="16"/>
      <c r="L43" s="16"/>
      <c r="M43" s="16"/>
      <c r="N43" s="31"/>
    </row>
    <row r="44" spans="1:14" ht="22" customHeight="1">
      <c r="A44" s="15" t="s">
        <v>170</v>
      </c>
      <c r="B44" s="16">
        <v>7750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/>
      <c r="I44" s="16"/>
      <c r="J44" s="16"/>
      <c r="K44" s="16"/>
      <c r="L44" s="16"/>
      <c r="M44" s="16"/>
      <c r="N44" s="31"/>
    </row>
    <row r="45" spans="1:14" ht="22" customHeight="1">
      <c r="A45" s="15" t="s">
        <v>171</v>
      </c>
      <c r="B45" s="16">
        <v>720</v>
      </c>
      <c r="C45" s="16">
        <v>0</v>
      </c>
      <c r="D45" s="16">
        <v>0</v>
      </c>
      <c r="E45" s="16">
        <v>0</v>
      </c>
      <c r="F45" s="16">
        <v>0</v>
      </c>
      <c r="G45" s="16">
        <v>0</v>
      </c>
      <c r="H45" s="16"/>
      <c r="I45" s="16"/>
      <c r="J45" s="16"/>
      <c r="K45" s="16"/>
      <c r="L45" s="16"/>
      <c r="M45" s="16"/>
      <c r="N45" s="31"/>
    </row>
    <row r="46" spans="1:14" ht="24" customHeight="1">
      <c r="A46" s="15" t="s">
        <v>172</v>
      </c>
      <c r="B46" s="16">
        <v>0</v>
      </c>
      <c r="C46" s="16">
        <v>12320</v>
      </c>
      <c r="D46" s="16">
        <v>0</v>
      </c>
      <c r="E46" s="16">
        <v>0</v>
      </c>
      <c r="F46" s="16">
        <v>0</v>
      </c>
      <c r="G46" s="16">
        <v>0</v>
      </c>
      <c r="H46" s="16"/>
      <c r="I46" s="16"/>
      <c r="J46" s="16"/>
      <c r="K46" s="16"/>
      <c r="L46" s="16"/>
      <c r="M46" s="16"/>
      <c r="N46" s="31"/>
    </row>
    <row r="47" spans="1:14" ht="22" customHeight="1">
      <c r="A47" s="15" t="s">
        <v>173</v>
      </c>
      <c r="B47" s="16">
        <v>0</v>
      </c>
      <c r="C47" s="16">
        <v>840</v>
      </c>
      <c r="D47" s="16">
        <v>0</v>
      </c>
      <c r="E47" s="16">
        <v>0</v>
      </c>
      <c r="F47" s="16">
        <v>0</v>
      </c>
      <c r="G47" s="16">
        <v>0</v>
      </c>
      <c r="H47" s="16"/>
      <c r="I47" s="16"/>
      <c r="J47" s="16"/>
      <c r="K47" s="16"/>
      <c r="L47" s="16"/>
      <c r="M47" s="16"/>
      <c r="N47" s="31"/>
    </row>
    <row r="48" spans="1:14" ht="20" customHeight="1">
      <c r="A48" s="15" t="s">
        <v>174</v>
      </c>
      <c r="B48" s="16">
        <v>0</v>
      </c>
      <c r="C48" s="16">
        <v>0</v>
      </c>
      <c r="D48" s="16">
        <v>700</v>
      </c>
      <c r="E48" s="16">
        <v>0</v>
      </c>
      <c r="F48" s="16">
        <v>0</v>
      </c>
      <c r="G48" s="16">
        <v>0</v>
      </c>
      <c r="H48" s="16"/>
      <c r="I48" s="16"/>
      <c r="J48" s="16"/>
      <c r="K48" s="16"/>
      <c r="L48" s="16"/>
      <c r="M48" s="16"/>
      <c r="N48" s="31"/>
    </row>
    <row r="49" spans="1:14" ht="22" customHeight="1">
      <c r="A49" s="15" t="s">
        <v>175</v>
      </c>
      <c r="B49" s="16">
        <v>0</v>
      </c>
      <c r="C49" s="16">
        <v>0</v>
      </c>
      <c r="D49" s="16">
        <v>380</v>
      </c>
      <c r="E49" s="16">
        <v>0</v>
      </c>
      <c r="F49" s="16">
        <v>0</v>
      </c>
      <c r="G49" s="16">
        <v>0</v>
      </c>
      <c r="H49" s="16"/>
      <c r="I49" s="16"/>
      <c r="J49" s="16"/>
      <c r="K49" s="16"/>
      <c r="L49" s="16"/>
      <c r="M49" s="16"/>
      <c r="N49" s="31"/>
    </row>
    <row r="50" spans="1:14" ht="22" customHeight="1">
      <c r="A50" s="15" t="s">
        <v>176</v>
      </c>
      <c r="B50" s="16">
        <v>0</v>
      </c>
      <c r="C50" s="16">
        <v>0</v>
      </c>
      <c r="D50" s="16">
        <v>600</v>
      </c>
      <c r="E50" s="16">
        <v>1670</v>
      </c>
      <c r="F50" s="16">
        <v>0</v>
      </c>
      <c r="G50" s="16">
        <v>0</v>
      </c>
      <c r="H50" s="16"/>
      <c r="I50" s="16"/>
      <c r="J50" s="16"/>
      <c r="K50" s="16"/>
      <c r="L50" s="16"/>
      <c r="M50" s="16"/>
      <c r="N50" s="31"/>
    </row>
    <row r="51" spans="1:14" ht="22" customHeight="1">
      <c r="A51" s="15" t="s">
        <v>177</v>
      </c>
      <c r="B51" s="16">
        <v>0</v>
      </c>
      <c r="C51" s="16">
        <v>2800</v>
      </c>
      <c r="D51" s="16">
        <v>0</v>
      </c>
      <c r="E51" s="16">
        <v>0</v>
      </c>
      <c r="F51" s="16">
        <v>0</v>
      </c>
      <c r="G51" s="16">
        <v>0</v>
      </c>
      <c r="H51" s="16"/>
      <c r="I51" s="16"/>
      <c r="J51" s="16"/>
      <c r="K51" s="16"/>
      <c r="L51" s="16"/>
      <c r="M51" s="16"/>
      <c r="N51" s="31"/>
    </row>
    <row r="52" spans="1:14" ht="22" customHeight="1">
      <c r="A52" s="15" t="s">
        <v>178</v>
      </c>
      <c r="B52" s="16">
        <v>6000</v>
      </c>
      <c r="C52" s="16">
        <v>0</v>
      </c>
      <c r="D52" s="16">
        <v>6000</v>
      </c>
      <c r="E52" s="16">
        <v>0</v>
      </c>
      <c r="F52" s="16">
        <v>0</v>
      </c>
      <c r="G52" s="16">
        <v>0</v>
      </c>
      <c r="H52" s="16"/>
      <c r="I52" s="16"/>
      <c r="J52" s="16"/>
      <c r="K52" s="16"/>
      <c r="L52" s="16"/>
      <c r="M52" s="16"/>
      <c r="N52" s="31"/>
    </row>
    <row r="53" spans="1:14" ht="23" customHeight="1">
      <c r="A53" s="15" t="s">
        <v>179</v>
      </c>
      <c r="B53" s="16">
        <v>0</v>
      </c>
      <c r="C53" s="16">
        <v>1150</v>
      </c>
      <c r="D53" s="16">
        <v>0</v>
      </c>
      <c r="E53" s="16">
        <v>0</v>
      </c>
      <c r="F53" s="16">
        <v>0</v>
      </c>
      <c r="G53" s="16">
        <v>0</v>
      </c>
      <c r="H53" s="16"/>
      <c r="I53" s="16"/>
      <c r="J53" s="16"/>
      <c r="K53" s="16"/>
      <c r="L53" s="16"/>
      <c r="M53" s="16"/>
      <c r="N53" s="31"/>
    </row>
    <row r="54" spans="1:14" ht="23" customHeight="1">
      <c r="A54" s="15" t="s">
        <v>180</v>
      </c>
      <c r="B54" s="16">
        <v>49.5</v>
      </c>
      <c r="C54" s="16">
        <v>0</v>
      </c>
      <c r="D54" s="16">
        <v>0</v>
      </c>
      <c r="E54" s="16">
        <v>0</v>
      </c>
      <c r="F54" s="16">
        <v>0</v>
      </c>
      <c r="G54" s="16">
        <v>0</v>
      </c>
      <c r="H54" s="16"/>
      <c r="I54" s="16"/>
      <c r="J54" s="16"/>
      <c r="K54" s="16"/>
      <c r="L54" s="16"/>
      <c r="M54" s="16"/>
      <c r="N54" s="31"/>
    </row>
    <row r="55" spans="1:14" ht="17" customHeight="1">
      <c r="A55" s="15" t="s">
        <v>181</v>
      </c>
      <c r="B55" s="16">
        <v>0</v>
      </c>
      <c r="C55" s="16">
        <v>0</v>
      </c>
      <c r="D55" s="16">
        <v>115</v>
      </c>
      <c r="E55" s="16">
        <v>0</v>
      </c>
      <c r="F55" s="16">
        <v>0</v>
      </c>
      <c r="G55" s="16">
        <v>0</v>
      </c>
      <c r="H55" s="16"/>
      <c r="I55" s="16"/>
      <c r="J55" s="16"/>
      <c r="K55" s="16"/>
      <c r="L55" s="16"/>
      <c r="M55" s="16"/>
      <c r="N55" s="31"/>
    </row>
    <row r="56" spans="1:14" ht="22" customHeight="1">
      <c r="A56" s="15" t="s">
        <v>182</v>
      </c>
      <c r="B56" s="16">
        <v>0</v>
      </c>
      <c r="C56" s="16">
        <v>0</v>
      </c>
      <c r="D56" s="16">
        <v>500</v>
      </c>
      <c r="E56" s="16">
        <v>1530</v>
      </c>
      <c r="F56" s="16">
        <v>0</v>
      </c>
      <c r="G56" s="16">
        <v>510</v>
      </c>
      <c r="H56" s="16"/>
      <c r="I56" s="16"/>
      <c r="J56" s="16">
        <v>510</v>
      </c>
      <c r="K56" s="16">
        <v>530</v>
      </c>
      <c r="L56" s="16"/>
      <c r="M56" s="16">
        <v>530</v>
      </c>
      <c r="N56" s="31"/>
    </row>
    <row r="57" spans="1:14" ht="18" customHeight="1">
      <c r="A57" s="33" t="s">
        <v>183</v>
      </c>
      <c r="B57" s="16">
        <v>0</v>
      </c>
      <c r="C57" s="16">
        <v>0</v>
      </c>
      <c r="D57" s="16">
        <f>SUM(D55:D56)</f>
        <v>615</v>
      </c>
      <c r="E57" s="16"/>
      <c r="F57" s="16">
        <v>0</v>
      </c>
      <c r="G57" s="16">
        <v>0</v>
      </c>
      <c r="H57" s="16"/>
      <c r="I57" s="16"/>
      <c r="J57" s="16"/>
      <c r="K57" s="16"/>
      <c r="L57" s="16"/>
      <c r="M57" s="16"/>
      <c r="N57" s="31"/>
    </row>
    <row r="58" spans="1:14" ht="21" customHeight="1">
      <c r="A58" s="15" t="s">
        <v>184</v>
      </c>
      <c r="B58" s="16">
        <v>0</v>
      </c>
      <c r="C58" s="16">
        <v>0</v>
      </c>
      <c r="D58" s="16">
        <v>0</v>
      </c>
      <c r="E58" s="16">
        <v>200</v>
      </c>
      <c r="F58" s="16">
        <v>0</v>
      </c>
      <c r="G58" s="16">
        <v>0</v>
      </c>
      <c r="H58" s="16"/>
      <c r="I58" s="16"/>
      <c r="J58" s="16"/>
      <c r="K58" s="16"/>
      <c r="L58" s="16"/>
      <c r="M58" s="16"/>
      <c r="N58" s="31"/>
    </row>
    <row r="59" spans="1:14" ht="20">
      <c r="A59" s="15" t="s">
        <v>185</v>
      </c>
      <c r="B59" s="16">
        <v>0</v>
      </c>
      <c r="C59" s="16">
        <v>0</v>
      </c>
      <c r="D59" s="16">
        <v>0</v>
      </c>
      <c r="E59" s="16">
        <v>270</v>
      </c>
      <c r="F59" s="16">
        <v>0</v>
      </c>
      <c r="G59" s="16">
        <v>0</v>
      </c>
      <c r="H59" s="16"/>
      <c r="I59" s="16"/>
      <c r="J59" s="16"/>
      <c r="K59" s="16"/>
      <c r="L59" s="16"/>
      <c r="M59" s="16"/>
      <c r="N59" s="31"/>
    </row>
    <row r="60" spans="1:14" ht="20">
      <c r="A60" s="17" t="s">
        <v>186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8"/>
    </row>
    <row r="61" spans="1:14" ht="20">
      <c r="A61" s="32" t="s">
        <v>187</v>
      </c>
      <c r="B61" s="8">
        <f>SUM(B13:B59)</f>
        <v>34348.050000000003</v>
      </c>
      <c r="C61" s="8">
        <f t="shared" ref="C61:M61" si="1">SUM(C13:C59)</f>
        <v>22664.400000000001</v>
      </c>
      <c r="D61" s="8">
        <f t="shared" si="1"/>
        <v>16599.61</v>
      </c>
      <c r="E61" s="8">
        <f t="shared" si="1"/>
        <v>15329.029999999999</v>
      </c>
      <c r="F61" s="8">
        <f>SUM(F13:F59)</f>
        <v>14961.91</v>
      </c>
      <c r="G61" s="8">
        <f t="shared" si="1"/>
        <v>6611.6500000000005</v>
      </c>
      <c r="H61" s="8">
        <f t="shared" si="1"/>
        <v>7257.32</v>
      </c>
      <c r="I61" s="8">
        <f t="shared" si="1"/>
        <v>3359.75</v>
      </c>
      <c r="J61" s="8">
        <f t="shared" si="1"/>
        <v>5619.1399999999994</v>
      </c>
      <c r="K61" s="8">
        <f t="shared" si="1"/>
        <v>4626.21</v>
      </c>
      <c r="L61" s="8">
        <f t="shared" si="1"/>
        <v>1970.32</v>
      </c>
      <c r="M61" s="8">
        <f t="shared" si="1"/>
        <v>2959.1800000000003</v>
      </c>
      <c r="N61" s="54">
        <f>SUM(B61:M61)</f>
        <v>136306.57</v>
      </c>
    </row>
    <row r="62" spans="1:14" ht="24" customHeight="1">
      <c r="A62" s="21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31"/>
    </row>
    <row r="63" spans="1:14" ht="24" customHeight="1">
      <c r="A63" s="26" t="s">
        <v>66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31"/>
    </row>
    <row r="64" spans="1:14" ht="24" customHeight="1">
      <c r="A64" s="20" t="s">
        <v>188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31"/>
    </row>
    <row r="65" spans="1:14" ht="24" customHeight="1">
      <c r="A65" s="20" t="s">
        <v>189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>
        <v>465.2</v>
      </c>
      <c r="N65" s="31"/>
    </row>
    <row r="66" spans="1:14" ht="24" customHeight="1">
      <c r="A66" s="15" t="s">
        <v>67</v>
      </c>
      <c r="B66" s="16">
        <v>17000</v>
      </c>
      <c r="C66" s="16">
        <v>18000</v>
      </c>
      <c r="D66" s="16">
        <v>6000</v>
      </c>
      <c r="E66" s="16">
        <v>0</v>
      </c>
      <c r="F66" s="16">
        <v>0</v>
      </c>
      <c r="G66" s="16">
        <v>0</v>
      </c>
      <c r="H66" s="16"/>
      <c r="I66" s="16"/>
      <c r="J66" s="16">
        <v>8200</v>
      </c>
      <c r="K66" s="34">
        <v>8700</v>
      </c>
      <c r="L66" s="34">
        <v>8700</v>
      </c>
      <c r="M66" s="34">
        <v>11300</v>
      </c>
      <c r="N66" s="8"/>
    </row>
    <row r="67" spans="1:14" ht="26" customHeight="1">
      <c r="A67" s="15" t="s">
        <v>68</v>
      </c>
      <c r="B67" s="16">
        <v>6891.75</v>
      </c>
      <c r="C67" s="16">
        <v>0</v>
      </c>
      <c r="D67" s="16">
        <v>0</v>
      </c>
      <c r="E67" s="16">
        <v>13977.52</v>
      </c>
      <c r="F67" s="16">
        <v>13977.52</v>
      </c>
      <c r="G67" s="16">
        <v>13977.52</v>
      </c>
      <c r="H67" s="16">
        <v>13977.52</v>
      </c>
      <c r="I67" s="16">
        <v>13977.52</v>
      </c>
      <c r="J67" s="16">
        <v>13977.52</v>
      </c>
      <c r="K67" s="16">
        <v>13977.52</v>
      </c>
      <c r="L67" s="16">
        <v>13977.52</v>
      </c>
      <c r="M67" s="16">
        <v>13977.52</v>
      </c>
      <c r="N67" s="8"/>
    </row>
    <row r="68" spans="1:14" ht="24" customHeight="1">
      <c r="A68" s="15" t="s">
        <v>69</v>
      </c>
      <c r="B68" s="16">
        <v>2169.37</v>
      </c>
      <c r="C68" s="16">
        <v>2169.37</v>
      </c>
      <c r="D68" s="16">
        <v>3801.95</v>
      </c>
      <c r="E68" s="16">
        <v>2985.66</v>
      </c>
      <c r="F68" s="16">
        <v>2985.66</v>
      </c>
      <c r="G68" s="16">
        <v>2985.66</v>
      </c>
      <c r="H68" s="16">
        <v>2985.66</v>
      </c>
      <c r="I68" s="16">
        <v>2985.66</v>
      </c>
      <c r="J68" s="16">
        <v>2985.66</v>
      </c>
      <c r="K68" s="16">
        <v>2985.66</v>
      </c>
      <c r="L68" s="16">
        <v>2985.66</v>
      </c>
      <c r="M68" s="16">
        <v>2985.66</v>
      </c>
      <c r="N68" s="8"/>
    </row>
    <row r="69" spans="1:14" ht="23" customHeight="1">
      <c r="A69" s="15" t="s">
        <v>70</v>
      </c>
      <c r="B69" s="16">
        <v>836.22</v>
      </c>
      <c r="C69" s="16">
        <v>805.05</v>
      </c>
      <c r="D69" s="16">
        <v>916.88</v>
      </c>
      <c r="E69" s="16">
        <v>881.74</v>
      </c>
      <c r="F69" s="16">
        <v>895.62</v>
      </c>
      <c r="G69" s="16">
        <v>922.82</v>
      </c>
      <c r="H69" s="35">
        <v>866.2</v>
      </c>
      <c r="I69" s="35">
        <v>865.29</v>
      </c>
      <c r="J69" s="35">
        <v>889.18</v>
      </c>
      <c r="K69" s="35">
        <v>861.78</v>
      </c>
      <c r="L69" s="35">
        <v>911.02</v>
      </c>
      <c r="M69" s="35">
        <v>941.61</v>
      </c>
      <c r="N69" s="8"/>
    </row>
    <row r="70" spans="1:14" ht="23" customHeight="1">
      <c r="A70" s="15" t="s">
        <v>190</v>
      </c>
      <c r="B70" s="16">
        <v>0</v>
      </c>
      <c r="C70" s="16">
        <v>0</v>
      </c>
      <c r="D70" s="16">
        <v>0</v>
      </c>
      <c r="E70" s="16">
        <v>0</v>
      </c>
      <c r="F70" s="16">
        <v>0</v>
      </c>
      <c r="G70" s="16">
        <v>0</v>
      </c>
      <c r="H70" s="16"/>
      <c r="I70" s="16"/>
      <c r="J70" s="16"/>
      <c r="K70" s="16"/>
      <c r="L70" s="16"/>
      <c r="M70" s="16"/>
      <c r="N70" s="8"/>
    </row>
    <row r="71" spans="1:14" ht="23" customHeight="1">
      <c r="A71" s="15" t="s">
        <v>71</v>
      </c>
      <c r="B71" s="16">
        <v>9137.2999999999993</v>
      </c>
      <c r="C71" s="16">
        <v>4891.75</v>
      </c>
      <c r="D71" s="16">
        <v>12668.47</v>
      </c>
      <c r="E71" s="16">
        <v>6302.59</v>
      </c>
      <c r="F71" s="16">
        <v>12302.59</v>
      </c>
      <c r="G71" s="16">
        <v>12302.59</v>
      </c>
      <c r="H71" s="16">
        <v>12302.59</v>
      </c>
      <c r="I71" s="16">
        <v>12302.59</v>
      </c>
      <c r="J71" s="16">
        <v>12302.59</v>
      </c>
      <c r="K71" s="16">
        <v>3502.59</v>
      </c>
      <c r="L71" s="16">
        <v>12302.59</v>
      </c>
      <c r="M71" s="16">
        <v>3502.59</v>
      </c>
      <c r="N71" s="8"/>
    </row>
    <row r="72" spans="1:14" ht="23" customHeight="1">
      <c r="A72" s="15" t="s">
        <v>72</v>
      </c>
      <c r="B72" s="16">
        <v>938.9</v>
      </c>
      <c r="C72" s="16">
        <v>938.9</v>
      </c>
      <c r="D72" s="16">
        <v>1029.52</v>
      </c>
      <c r="E72" s="16">
        <v>984.21</v>
      </c>
      <c r="F72" s="16">
        <v>984.21</v>
      </c>
      <c r="G72" s="16">
        <v>984.21</v>
      </c>
      <c r="H72" s="16">
        <v>984.21</v>
      </c>
      <c r="I72" s="16">
        <v>984.21</v>
      </c>
      <c r="J72" s="16">
        <v>984.21</v>
      </c>
      <c r="K72" s="16">
        <v>984.21</v>
      </c>
      <c r="L72" s="16">
        <v>984.21</v>
      </c>
      <c r="M72" s="16">
        <v>984.21</v>
      </c>
      <c r="N72" s="8"/>
    </row>
    <row r="73" spans="1:14" ht="23" customHeight="1">
      <c r="A73" s="15" t="s">
        <v>73</v>
      </c>
      <c r="B73" s="16">
        <v>1567.47</v>
      </c>
      <c r="C73" s="16">
        <v>1631.48</v>
      </c>
      <c r="D73" s="16">
        <v>1631.48</v>
      </c>
      <c r="E73" s="16">
        <v>1631.48</v>
      </c>
      <c r="F73" s="16">
        <v>1631.48</v>
      </c>
      <c r="G73" s="16">
        <v>1631.48</v>
      </c>
      <c r="H73" s="16">
        <v>1631.48</v>
      </c>
      <c r="I73" s="16">
        <v>1631.48</v>
      </c>
      <c r="J73" s="16">
        <v>1631.48</v>
      </c>
      <c r="K73" s="16">
        <v>1631.48</v>
      </c>
      <c r="L73" s="16">
        <v>1631.48</v>
      </c>
      <c r="M73" s="16">
        <v>1631.48</v>
      </c>
      <c r="N73" s="8"/>
    </row>
    <row r="74" spans="1:14" ht="23" customHeight="1">
      <c r="A74" s="15" t="s">
        <v>74</v>
      </c>
      <c r="B74" s="16">
        <v>5565.49</v>
      </c>
      <c r="C74" s="16">
        <v>5565.49</v>
      </c>
      <c r="D74" s="16">
        <v>6996.77</v>
      </c>
      <c r="E74" s="16">
        <v>6996.77</v>
      </c>
      <c r="F74" s="16">
        <v>6996.77</v>
      </c>
      <c r="G74" s="16">
        <v>6972.38</v>
      </c>
      <c r="H74" s="16">
        <v>6972.38</v>
      </c>
      <c r="I74" s="16">
        <v>6972.38</v>
      </c>
      <c r="J74" s="16">
        <v>6972.38</v>
      </c>
      <c r="K74" s="16">
        <v>6972.38</v>
      </c>
      <c r="L74" s="16">
        <v>6972.38</v>
      </c>
      <c r="M74" s="16">
        <v>6972.38</v>
      </c>
      <c r="N74" s="8"/>
    </row>
    <row r="75" spans="1:14" ht="23" customHeight="1">
      <c r="A75" s="15" t="s">
        <v>75</v>
      </c>
      <c r="B75" s="16">
        <v>2664.77</v>
      </c>
      <c r="C75" s="16">
        <v>2537.77</v>
      </c>
      <c r="D75" s="16">
        <v>2462.77</v>
      </c>
      <c r="E75" s="16">
        <v>2600.91</v>
      </c>
      <c r="F75" s="16">
        <v>2780.91</v>
      </c>
      <c r="G75" s="16">
        <v>2787.91</v>
      </c>
      <c r="H75" s="16">
        <v>2660.91</v>
      </c>
      <c r="I75" s="16">
        <v>2652.91</v>
      </c>
      <c r="J75" s="16">
        <v>2667.91</v>
      </c>
      <c r="K75" s="16">
        <v>3100.91</v>
      </c>
      <c r="L75" s="16">
        <v>2659.91</v>
      </c>
      <c r="M75" s="16">
        <v>2757.91</v>
      </c>
      <c r="N75" s="8"/>
    </row>
    <row r="76" spans="1:14" ht="23" customHeight="1">
      <c r="A76" s="15" t="s">
        <v>76</v>
      </c>
      <c r="B76" s="16">
        <v>704.92</v>
      </c>
      <c r="C76" s="16">
        <v>782.9</v>
      </c>
      <c r="D76" s="16">
        <v>782.9</v>
      </c>
      <c r="E76" s="16">
        <v>782.9</v>
      </c>
      <c r="F76" s="16">
        <v>782.9</v>
      </c>
      <c r="G76" s="16">
        <v>782.9</v>
      </c>
      <c r="H76" s="16">
        <v>782.9</v>
      </c>
      <c r="I76" s="16">
        <v>802.2</v>
      </c>
      <c r="J76" s="16">
        <v>782.9</v>
      </c>
      <c r="K76" s="16">
        <v>782.9</v>
      </c>
      <c r="L76" s="16">
        <v>782.9</v>
      </c>
      <c r="M76" s="16">
        <v>782.9</v>
      </c>
      <c r="N76" s="8"/>
    </row>
    <row r="77" spans="1:14" ht="23" customHeight="1">
      <c r="A77" s="17" t="s">
        <v>191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8"/>
    </row>
    <row r="78" spans="1:14" ht="23" customHeight="1">
      <c r="A78" s="19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31"/>
    </row>
    <row r="79" spans="1:14" ht="23" customHeight="1">
      <c r="A79" s="20" t="s">
        <v>192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31"/>
    </row>
    <row r="80" spans="1:14" ht="23" customHeight="1">
      <c r="A80" s="20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31"/>
    </row>
    <row r="81" spans="1:14" ht="21" customHeight="1">
      <c r="A81" s="15" t="s">
        <v>68</v>
      </c>
      <c r="B81" s="16">
        <v>567.1</v>
      </c>
      <c r="C81" s="16">
        <v>567.1</v>
      </c>
      <c r="D81" s="16">
        <v>623.9</v>
      </c>
      <c r="E81" s="16">
        <v>595.5</v>
      </c>
      <c r="F81" s="16">
        <v>595.5</v>
      </c>
      <c r="G81" s="16">
        <v>595.5</v>
      </c>
      <c r="H81" s="16">
        <v>595.5</v>
      </c>
      <c r="I81" s="16">
        <v>595.5</v>
      </c>
      <c r="J81" s="16">
        <v>595.5</v>
      </c>
      <c r="K81" s="16">
        <v>595.5</v>
      </c>
      <c r="L81" s="16">
        <v>595.5</v>
      </c>
      <c r="M81" s="16">
        <v>595.5</v>
      </c>
      <c r="N81" s="8"/>
    </row>
    <row r="82" spans="1:14" ht="21" customHeight="1">
      <c r="A82" s="9" t="s">
        <v>77</v>
      </c>
      <c r="B82" s="16">
        <v>0</v>
      </c>
      <c r="C82" s="16">
        <v>0</v>
      </c>
      <c r="D82" s="16">
        <v>9952.6</v>
      </c>
      <c r="E82" s="16">
        <v>0</v>
      </c>
      <c r="F82" s="16"/>
      <c r="G82" s="16"/>
      <c r="H82" s="16"/>
      <c r="I82" s="16"/>
      <c r="J82" s="16"/>
      <c r="K82" s="16"/>
      <c r="L82" s="16"/>
      <c r="M82" s="16"/>
      <c r="N82" s="8"/>
    </row>
    <row r="83" spans="1:14" ht="21" customHeight="1">
      <c r="A83" s="15" t="s">
        <v>78</v>
      </c>
      <c r="B83" s="16">
        <v>8911.5</v>
      </c>
      <c r="C83" s="16">
        <v>8911.5</v>
      </c>
      <c r="D83" s="16">
        <v>9802.07</v>
      </c>
      <c r="E83" s="16">
        <v>9357.1</v>
      </c>
      <c r="F83" s="16">
        <v>9357.1</v>
      </c>
      <c r="G83" s="16">
        <v>9357.1</v>
      </c>
      <c r="H83" s="16">
        <v>9357.1</v>
      </c>
      <c r="I83" s="16">
        <v>9357.1</v>
      </c>
      <c r="J83" s="16">
        <v>9357.1</v>
      </c>
      <c r="K83" s="16">
        <v>9357.1</v>
      </c>
      <c r="L83" s="16">
        <v>9357.1</v>
      </c>
      <c r="M83" s="16">
        <v>9357.1</v>
      </c>
      <c r="N83" s="8"/>
    </row>
    <row r="84" spans="1:14" ht="21" customHeight="1">
      <c r="A84" s="15" t="s">
        <v>72</v>
      </c>
      <c r="B84" s="16">
        <v>713</v>
      </c>
      <c r="C84" s="16">
        <v>748.6</v>
      </c>
      <c r="D84" s="16">
        <v>748.6</v>
      </c>
      <c r="E84" s="16">
        <v>748.6</v>
      </c>
      <c r="F84" s="16">
        <v>748.6</v>
      </c>
      <c r="G84" s="16">
        <v>748.6</v>
      </c>
      <c r="H84" s="16">
        <v>748.6</v>
      </c>
      <c r="I84" s="16">
        <v>748.6</v>
      </c>
      <c r="J84" s="16">
        <v>748.6</v>
      </c>
      <c r="K84" s="16">
        <v>748.6</v>
      </c>
      <c r="L84" s="16">
        <v>748.6</v>
      </c>
      <c r="M84" s="16">
        <v>748.6</v>
      </c>
      <c r="N84" s="8"/>
    </row>
    <row r="85" spans="1:14" ht="21" customHeight="1">
      <c r="A85" s="15" t="s">
        <v>73</v>
      </c>
      <c r="B85" s="16">
        <v>1567.47</v>
      </c>
      <c r="C85" s="16">
        <v>1631.48</v>
      </c>
      <c r="D85" s="16">
        <v>1631.48</v>
      </c>
      <c r="E85" s="16">
        <v>1631.48</v>
      </c>
      <c r="F85" s="16">
        <v>1631.48</v>
      </c>
      <c r="G85" s="16">
        <v>1631.48</v>
      </c>
      <c r="H85" s="16">
        <v>1631.48</v>
      </c>
      <c r="I85" s="16">
        <v>1631.48</v>
      </c>
      <c r="J85" s="16">
        <v>1631.48</v>
      </c>
      <c r="K85" s="16">
        <v>1631.48</v>
      </c>
      <c r="L85" s="16">
        <v>1631.48</v>
      </c>
      <c r="M85" s="16">
        <v>1631.48</v>
      </c>
      <c r="N85" s="8"/>
    </row>
    <row r="86" spans="1:14" ht="20">
      <c r="A86" s="15" t="s">
        <v>74</v>
      </c>
      <c r="B86" s="16">
        <v>1555.13</v>
      </c>
      <c r="C86" s="16">
        <v>1555.13</v>
      </c>
      <c r="D86" s="16">
        <v>1555.13</v>
      </c>
      <c r="E86" s="16">
        <v>1685.65</v>
      </c>
      <c r="F86" s="16">
        <v>1685.65</v>
      </c>
      <c r="G86" s="16">
        <v>1685.65</v>
      </c>
      <c r="H86" s="16">
        <v>1685.65</v>
      </c>
      <c r="I86" s="16">
        <v>1685.65</v>
      </c>
      <c r="J86" s="16">
        <v>1685.65</v>
      </c>
      <c r="K86" s="16">
        <v>1685.65</v>
      </c>
      <c r="L86" s="16">
        <v>1685.65</v>
      </c>
      <c r="M86" s="16">
        <v>1685.65</v>
      </c>
      <c r="N86" s="8"/>
    </row>
    <row r="87" spans="1:14" ht="21" customHeight="1">
      <c r="A87" s="15" t="s">
        <v>75</v>
      </c>
      <c r="B87" s="16">
        <v>1197.33</v>
      </c>
      <c r="C87" s="16">
        <v>1197.33</v>
      </c>
      <c r="D87" s="16">
        <v>1317.07</v>
      </c>
      <c r="E87" s="16">
        <v>1257.2</v>
      </c>
      <c r="F87" s="16">
        <v>1257.2</v>
      </c>
      <c r="G87" s="16">
        <v>1257.2</v>
      </c>
      <c r="H87" s="16">
        <v>1257.2</v>
      </c>
      <c r="I87" s="16">
        <v>1257.2</v>
      </c>
      <c r="J87" s="16">
        <v>1257.2</v>
      </c>
      <c r="K87" s="16">
        <v>1257.2</v>
      </c>
      <c r="L87" s="16">
        <v>1257.2</v>
      </c>
      <c r="M87" s="16">
        <v>1257.2</v>
      </c>
      <c r="N87" s="8"/>
    </row>
    <row r="88" spans="1:14" ht="21" customHeight="1">
      <c r="A88" s="15" t="s">
        <v>79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>
        <v>756.93</v>
      </c>
      <c r="N88" s="8"/>
    </row>
    <row r="89" spans="1:14" ht="21" customHeight="1">
      <c r="A89" s="15" t="s">
        <v>80</v>
      </c>
      <c r="B89" s="16">
        <v>0</v>
      </c>
      <c r="C89" s="16">
        <v>0</v>
      </c>
      <c r="D89" s="16">
        <v>0</v>
      </c>
      <c r="E89" s="16">
        <v>0</v>
      </c>
      <c r="F89" s="16"/>
      <c r="G89" s="16"/>
      <c r="H89" s="16"/>
      <c r="I89" s="16"/>
      <c r="J89" s="16"/>
      <c r="K89" s="16"/>
      <c r="L89" s="16">
        <v>4976.3</v>
      </c>
      <c r="M89" s="16">
        <v>4976.3</v>
      </c>
      <c r="N89" s="8"/>
    </row>
    <row r="90" spans="1:14" ht="21" customHeight="1">
      <c r="A90" s="15" t="s">
        <v>81</v>
      </c>
      <c r="B90" s="16">
        <v>0</v>
      </c>
      <c r="C90" s="16">
        <v>0</v>
      </c>
      <c r="D90" s="16">
        <v>0</v>
      </c>
      <c r="E90" s="16">
        <v>0</v>
      </c>
      <c r="F90" s="16"/>
      <c r="G90" s="16">
        <v>3317.53</v>
      </c>
      <c r="H90" s="16"/>
      <c r="I90" s="16"/>
      <c r="J90" s="16"/>
      <c r="K90" s="16"/>
      <c r="L90" s="16"/>
      <c r="M90" s="16"/>
      <c r="N90" s="8"/>
    </row>
    <row r="91" spans="1:14" ht="21" customHeight="1">
      <c r="A91" s="17" t="s">
        <v>193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8"/>
    </row>
    <row r="92" spans="1:14" ht="21" customHeight="1">
      <c r="A92" s="19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31"/>
    </row>
    <row r="93" spans="1:14" ht="21" customHeight="1">
      <c r="A93" s="20" t="s">
        <v>194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31"/>
    </row>
    <row r="94" spans="1:14" ht="21" customHeight="1">
      <c r="A94" s="19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31"/>
    </row>
    <row r="95" spans="1:14" ht="21" customHeight="1">
      <c r="A95" s="15" t="s">
        <v>82</v>
      </c>
      <c r="B95" s="16">
        <v>500</v>
      </c>
      <c r="C95" s="16">
        <v>500</v>
      </c>
      <c r="D95" s="16">
        <v>3773.84</v>
      </c>
      <c r="E95" s="16">
        <v>2136.92</v>
      </c>
      <c r="F95" s="16">
        <v>2136.92</v>
      </c>
      <c r="G95" s="16">
        <v>2136.92</v>
      </c>
      <c r="H95" s="16">
        <v>2136.92</v>
      </c>
      <c r="I95" s="16">
        <v>2136.92</v>
      </c>
      <c r="J95" s="16">
        <v>2136.92</v>
      </c>
      <c r="K95" s="16">
        <v>2136.92</v>
      </c>
      <c r="L95" s="16">
        <v>2136.92</v>
      </c>
      <c r="M95" s="16">
        <v>2136.92</v>
      </c>
      <c r="N95" s="8"/>
    </row>
    <row r="96" spans="1:14" ht="21" customHeight="1">
      <c r="A96" s="15" t="s">
        <v>83</v>
      </c>
      <c r="B96" s="16">
        <v>7600</v>
      </c>
      <c r="C96" s="16">
        <v>7600</v>
      </c>
      <c r="D96" s="16">
        <v>8339.16</v>
      </c>
      <c r="E96" s="16">
        <v>7967.08</v>
      </c>
      <c r="F96" s="16">
        <v>7967.08</v>
      </c>
      <c r="G96" s="16">
        <v>7967.08</v>
      </c>
      <c r="H96" s="16">
        <v>7967.08</v>
      </c>
      <c r="I96" s="16">
        <v>7967.08</v>
      </c>
      <c r="J96" s="16">
        <v>7967.08</v>
      </c>
      <c r="K96" s="16">
        <v>7967.08</v>
      </c>
      <c r="L96" s="16">
        <v>7967.08</v>
      </c>
      <c r="M96" s="16">
        <v>7967.08</v>
      </c>
      <c r="N96" s="8"/>
    </row>
    <row r="97" spans="1:14" ht="21" customHeight="1">
      <c r="A97" s="15" t="s">
        <v>72</v>
      </c>
      <c r="B97" s="16">
        <v>608</v>
      </c>
      <c r="C97" s="16">
        <v>637.37</v>
      </c>
      <c r="D97" s="16">
        <v>637.37</v>
      </c>
      <c r="E97" s="16">
        <v>637.37</v>
      </c>
      <c r="F97" s="16">
        <v>637.37</v>
      </c>
      <c r="G97" s="16">
        <v>637.37</v>
      </c>
      <c r="H97" s="16">
        <v>637.37</v>
      </c>
      <c r="I97" s="16">
        <v>637.37</v>
      </c>
      <c r="J97" s="16">
        <v>637.37</v>
      </c>
      <c r="K97" s="16">
        <v>637.37</v>
      </c>
      <c r="L97" s="16">
        <v>637.37</v>
      </c>
      <c r="M97" s="16">
        <v>637.37</v>
      </c>
      <c r="N97" s="8"/>
    </row>
    <row r="98" spans="1:14" ht="21" customHeight="1">
      <c r="A98" s="15" t="s">
        <v>84</v>
      </c>
      <c r="B98" s="16">
        <v>0</v>
      </c>
      <c r="C98" s="16">
        <v>0</v>
      </c>
      <c r="D98" s="16">
        <v>0</v>
      </c>
      <c r="E98" s="16">
        <v>7000</v>
      </c>
      <c r="F98" s="16">
        <v>0</v>
      </c>
      <c r="G98" s="16">
        <v>0</v>
      </c>
      <c r="H98" s="16"/>
      <c r="I98" s="16"/>
      <c r="J98" s="16"/>
      <c r="K98" s="16"/>
      <c r="L98" s="16"/>
      <c r="M98" s="16"/>
      <c r="N98" s="8"/>
    </row>
    <row r="99" spans="1:14" ht="21" customHeight="1">
      <c r="A99" s="15" t="s">
        <v>73</v>
      </c>
      <c r="B99" s="16">
        <v>1567.47</v>
      </c>
      <c r="C99" s="16">
        <v>1631.48</v>
      </c>
      <c r="D99" s="16">
        <v>1631.48</v>
      </c>
      <c r="E99" s="16">
        <v>1631.48</v>
      </c>
      <c r="F99" s="16">
        <v>1631.48</v>
      </c>
      <c r="G99" s="16">
        <v>1631.48</v>
      </c>
      <c r="H99" s="16">
        <v>1631.48</v>
      </c>
      <c r="I99" s="16">
        <v>1631.48</v>
      </c>
      <c r="J99" s="16">
        <v>1631.48</v>
      </c>
      <c r="K99" s="16">
        <v>1631.48</v>
      </c>
      <c r="L99" s="16">
        <v>1631.48</v>
      </c>
      <c r="M99" s="16">
        <v>1631.48</v>
      </c>
      <c r="N99" s="8"/>
    </row>
    <row r="100" spans="1:14" ht="21" customHeight="1">
      <c r="A100" s="15" t="s">
        <v>74</v>
      </c>
      <c r="B100" s="16">
        <v>1175.0899999999999</v>
      </c>
      <c r="C100" s="16">
        <v>1175.0899999999999</v>
      </c>
      <c r="D100" s="16">
        <v>1175.0899999999999</v>
      </c>
      <c r="E100" s="16">
        <v>1726.19</v>
      </c>
      <c r="F100" s="16">
        <v>1726.19</v>
      </c>
      <c r="G100" s="16">
        <v>1702.89</v>
      </c>
      <c r="H100" s="16">
        <v>1726.19</v>
      </c>
      <c r="I100" s="16">
        <v>1702.89</v>
      </c>
      <c r="J100" s="16">
        <v>1702.89</v>
      </c>
      <c r="K100" s="16">
        <v>1702.89</v>
      </c>
      <c r="L100" s="16">
        <v>1702.89</v>
      </c>
      <c r="M100" s="16">
        <v>1702.89</v>
      </c>
      <c r="N100" s="8"/>
    </row>
    <row r="101" spans="1:14" ht="21" customHeight="1">
      <c r="A101" s="15" t="s">
        <v>75</v>
      </c>
      <c r="B101" s="16">
        <v>991.49</v>
      </c>
      <c r="C101" s="16">
        <v>991.49</v>
      </c>
      <c r="D101" s="16">
        <v>2876.8</v>
      </c>
      <c r="E101" s="16">
        <v>1268.29</v>
      </c>
      <c r="F101" s="16">
        <v>1268.29</v>
      </c>
      <c r="G101" s="16">
        <v>1358.2</v>
      </c>
      <c r="H101" s="16">
        <v>1600.64</v>
      </c>
      <c r="I101" s="16">
        <v>1443.79</v>
      </c>
      <c r="J101" s="16">
        <v>1301.8900000000001</v>
      </c>
      <c r="K101" s="16">
        <v>1301.8900000000001</v>
      </c>
      <c r="L101" s="16">
        <v>1301.8900000000001</v>
      </c>
      <c r="M101" s="16">
        <v>1301.8900000000001</v>
      </c>
      <c r="N101" s="8"/>
    </row>
    <row r="102" spans="1:14" ht="21" customHeight="1">
      <c r="A102" s="15" t="s">
        <v>79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>
        <v>756.93</v>
      </c>
      <c r="N102" s="8"/>
    </row>
    <row r="103" spans="1:14" ht="21" customHeight="1">
      <c r="A103" s="15" t="s">
        <v>80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>
        <v>5052</v>
      </c>
      <c r="M103" s="16">
        <v>5052</v>
      </c>
      <c r="N103" s="8"/>
    </row>
    <row r="104" spans="1:14" ht="21" customHeight="1">
      <c r="A104" s="15" t="s">
        <v>85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>
        <v>1122.67</v>
      </c>
      <c r="N104" s="8"/>
    </row>
    <row r="105" spans="1:14" ht="21" customHeight="1">
      <c r="A105" s="17" t="s">
        <v>195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8"/>
    </row>
    <row r="106" spans="1:14" ht="20" customHeight="1">
      <c r="A106" s="13" t="s">
        <v>196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8"/>
    </row>
    <row r="107" spans="1:14" ht="20" customHeight="1">
      <c r="A107" s="9" t="s">
        <v>197</v>
      </c>
      <c r="B107" s="16">
        <v>0</v>
      </c>
      <c r="C107" s="16">
        <v>1500</v>
      </c>
      <c r="D107" s="16">
        <v>2500</v>
      </c>
      <c r="E107" s="16">
        <v>2544.33</v>
      </c>
      <c r="F107" s="16">
        <v>2544.33</v>
      </c>
      <c r="G107" s="16">
        <v>2544.33</v>
      </c>
      <c r="H107" s="16">
        <v>2544.33</v>
      </c>
      <c r="I107" s="16">
        <v>2544.33</v>
      </c>
      <c r="J107" s="16">
        <v>2544.33</v>
      </c>
      <c r="K107" s="16">
        <v>2544.33</v>
      </c>
      <c r="L107" s="16">
        <v>2544.33</v>
      </c>
      <c r="M107" s="16">
        <v>2544.33</v>
      </c>
      <c r="N107" s="8"/>
    </row>
    <row r="108" spans="1:14" ht="20" customHeight="1">
      <c r="A108" s="9" t="s">
        <v>198</v>
      </c>
      <c r="B108" s="16">
        <v>0</v>
      </c>
      <c r="C108" s="16">
        <v>0</v>
      </c>
      <c r="D108" s="16">
        <v>0</v>
      </c>
      <c r="E108" s="16">
        <v>544.33000000000004</v>
      </c>
      <c r="F108" s="16">
        <v>0</v>
      </c>
      <c r="G108" s="16">
        <v>0</v>
      </c>
      <c r="H108" s="16"/>
      <c r="I108" s="16"/>
      <c r="J108" s="16"/>
      <c r="K108" s="16"/>
      <c r="L108" s="16"/>
      <c r="M108" s="16"/>
      <c r="N108" s="8"/>
    </row>
    <row r="109" spans="1:14" ht="20" customHeight="1">
      <c r="A109" s="9" t="s">
        <v>199</v>
      </c>
      <c r="B109" s="16">
        <v>1440</v>
      </c>
      <c r="C109" s="16">
        <v>0</v>
      </c>
      <c r="D109" s="16">
        <v>540</v>
      </c>
      <c r="E109" s="16">
        <v>0</v>
      </c>
      <c r="F109" s="16">
        <v>0</v>
      </c>
      <c r="G109" s="16">
        <v>0</v>
      </c>
      <c r="H109" s="16"/>
      <c r="I109" s="16"/>
      <c r="J109" s="16"/>
      <c r="K109" s="16"/>
      <c r="L109" s="16"/>
      <c r="M109" s="16"/>
      <c r="N109" s="8"/>
    </row>
    <row r="110" spans="1:14" ht="21" customHeight="1">
      <c r="A110" s="19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31"/>
    </row>
    <row r="111" spans="1:14" ht="21" customHeight="1">
      <c r="A111" s="20" t="s">
        <v>200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31"/>
    </row>
    <row r="112" spans="1:14" ht="21" customHeight="1">
      <c r="A112" s="19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31"/>
    </row>
    <row r="113" spans="1:14" ht="21" customHeight="1">
      <c r="A113" s="15" t="s">
        <v>86</v>
      </c>
      <c r="B113" s="16">
        <v>2118</v>
      </c>
      <c r="C113" s="16">
        <v>2118</v>
      </c>
      <c r="D113" s="16">
        <v>2277</v>
      </c>
      <c r="E113" s="16">
        <v>2277</v>
      </c>
      <c r="F113" s="16">
        <v>2277</v>
      </c>
      <c r="G113" s="16">
        <v>2277</v>
      </c>
      <c r="H113" s="16">
        <v>2277</v>
      </c>
      <c r="I113" s="16">
        <v>2277</v>
      </c>
      <c r="J113" s="16">
        <v>2277</v>
      </c>
      <c r="K113" s="16">
        <v>2277</v>
      </c>
      <c r="L113" s="16">
        <v>2952.83</v>
      </c>
      <c r="M113" s="16">
        <v>2277</v>
      </c>
      <c r="N113" s="31"/>
    </row>
    <row r="114" spans="1:14" ht="21" customHeight="1">
      <c r="A114" s="15" t="s">
        <v>87</v>
      </c>
      <c r="B114" s="16">
        <v>160</v>
      </c>
      <c r="C114" s="16">
        <v>160</v>
      </c>
      <c r="D114" s="16">
        <v>160</v>
      </c>
      <c r="E114" s="16">
        <v>160</v>
      </c>
      <c r="F114" s="16">
        <v>160</v>
      </c>
      <c r="G114" s="16">
        <v>160</v>
      </c>
      <c r="H114" s="16">
        <v>160</v>
      </c>
      <c r="I114" s="16">
        <v>160</v>
      </c>
      <c r="J114" s="16">
        <v>160</v>
      </c>
      <c r="K114" s="16">
        <v>160</v>
      </c>
      <c r="L114" s="16">
        <v>160</v>
      </c>
      <c r="M114" s="16">
        <v>160</v>
      </c>
      <c r="N114" s="31"/>
    </row>
    <row r="115" spans="1:14" ht="21" customHeight="1">
      <c r="A115" s="15" t="s">
        <v>88</v>
      </c>
      <c r="B115" s="16">
        <v>870</v>
      </c>
      <c r="C115" s="16">
        <v>870</v>
      </c>
      <c r="D115" s="16">
        <v>870</v>
      </c>
      <c r="E115" s="16">
        <v>870</v>
      </c>
      <c r="F115" s="16">
        <v>870</v>
      </c>
      <c r="G115" s="16">
        <v>870</v>
      </c>
      <c r="H115" s="16">
        <v>870</v>
      </c>
      <c r="I115" s="16">
        <v>870</v>
      </c>
      <c r="J115" s="16">
        <v>870</v>
      </c>
      <c r="K115" s="16">
        <v>870</v>
      </c>
      <c r="L115" s="16">
        <v>870</v>
      </c>
      <c r="M115" s="16">
        <v>894</v>
      </c>
      <c r="N115" s="31"/>
    </row>
    <row r="116" spans="1:14" ht="21" customHeight="1">
      <c r="A116" s="15" t="s">
        <v>89</v>
      </c>
      <c r="B116" s="16">
        <v>786</v>
      </c>
      <c r="C116" s="16">
        <v>786</v>
      </c>
      <c r="D116" s="16">
        <v>786</v>
      </c>
      <c r="E116" s="16">
        <v>786</v>
      </c>
      <c r="F116" s="16">
        <v>786</v>
      </c>
      <c r="G116" s="16">
        <v>786</v>
      </c>
      <c r="H116" s="16">
        <v>786</v>
      </c>
      <c r="I116" s="16">
        <v>786</v>
      </c>
      <c r="J116" s="16">
        <v>786</v>
      </c>
      <c r="K116" s="16">
        <v>786</v>
      </c>
      <c r="L116" s="16">
        <v>786</v>
      </c>
      <c r="M116" s="16">
        <v>786</v>
      </c>
      <c r="N116" s="31"/>
    </row>
    <row r="117" spans="1:14" ht="21" customHeight="1">
      <c r="A117" s="15" t="s">
        <v>90</v>
      </c>
      <c r="B117" s="16">
        <v>0</v>
      </c>
      <c r="C117" s="16">
        <v>0</v>
      </c>
      <c r="D117" s="16">
        <v>3050.5</v>
      </c>
      <c r="E117" s="16">
        <v>3145</v>
      </c>
      <c r="F117" s="16">
        <v>2516</v>
      </c>
      <c r="G117" s="16">
        <v>2844.2</v>
      </c>
      <c r="H117" s="16">
        <v>3437.7</v>
      </c>
      <c r="I117" s="16">
        <v>1311.6</v>
      </c>
      <c r="J117" s="16">
        <v>2922.7</v>
      </c>
      <c r="K117" s="16">
        <v>1976.84</v>
      </c>
      <c r="L117" s="16">
        <v>2140.7600000000002</v>
      </c>
      <c r="M117" s="16">
        <v>1518.92</v>
      </c>
      <c r="N117" s="16"/>
    </row>
    <row r="118" spans="1:14" ht="21" customHeight="1">
      <c r="A118" s="19" t="s">
        <v>91</v>
      </c>
      <c r="B118" s="16">
        <v>0</v>
      </c>
      <c r="C118" s="16">
        <v>0</v>
      </c>
      <c r="D118" s="16">
        <v>600</v>
      </c>
      <c r="E118" s="16">
        <v>300</v>
      </c>
      <c r="F118" s="16">
        <v>500</v>
      </c>
      <c r="G118" s="16">
        <v>428.2</v>
      </c>
      <c r="H118" s="16">
        <v>305.02</v>
      </c>
      <c r="I118" s="16">
        <v>401.5</v>
      </c>
      <c r="J118" s="16">
        <v>436.1</v>
      </c>
      <c r="K118" s="16">
        <v>603.83000000000004</v>
      </c>
      <c r="L118" s="16">
        <v>1178.8599999999999</v>
      </c>
      <c r="M118" s="31">
        <v>1499.64</v>
      </c>
      <c r="N118" s="16"/>
    </row>
    <row r="119" spans="1:14" ht="21" customHeight="1">
      <c r="A119" s="36" t="s">
        <v>92</v>
      </c>
      <c r="B119" s="16"/>
      <c r="C119" s="16"/>
      <c r="D119" s="16"/>
      <c r="E119" s="16"/>
      <c r="F119" s="16"/>
      <c r="G119" s="16"/>
      <c r="H119" s="16">
        <v>1301.6300000000001</v>
      </c>
      <c r="I119" s="16">
        <v>1512.1</v>
      </c>
      <c r="J119" s="16">
        <v>946.41</v>
      </c>
      <c r="K119" s="16">
        <v>885.88</v>
      </c>
      <c r="L119" s="16">
        <v>1445.44</v>
      </c>
      <c r="M119" s="16">
        <v>800.63</v>
      </c>
      <c r="N119" s="31"/>
    </row>
    <row r="120" spans="1:14" ht="21" customHeight="1">
      <c r="A120" s="19" t="s">
        <v>93</v>
      </c>
      <c r="B120" s="16">
        <v>0</v>
      </c>
      <c r="C120" s="16">
        <v>0</v>
      </c>
      <c r="D120" s="16">
        <v>300</v>
      </c>
      <c r="E120" s="16">
        <v>300</v>
      </c>
      <c r="F120" s="16">
        <v>85</v>
      </c>
      <c r="G120" s="16">
        <v>85</v>
      </c>
      <c r="H120" s="16">
        <v>87.28</v>
      </c>
      <c r="I120" s="16">
        <v>265.08999999999997</v>
      </c>
      <c r="J120" s="16">
        <v>131.55000000000001</v>
      </c>
      <c r="K120" s="16">
        <v>80</v>
      </c>
      <c r="L120" s="16">
        <v>165</v>
      </c>
      <c r="M120" s="16">
        <v>143.5</v>
      </c>
      <c r="N120" s="31"/>
    </row>
    <row r="121" spans="1:14" ht="21" customHeight="1">
      <c r="A121" s="19" t="s">
        <v>94</v>
      </c>
      <c r="B121" s="16">
        <v>0</v>
      </c>
      <c r="C121" s="16">
        <v>0</v>
      </c>
      <c r="D121" s="16">
        <v>200</v>
      </c>
      <c r="E121" s="16">
        <v>0</v>
      </c>
      <c r="F121" s="16">
        <v>0</v>
      </c>
      <c r="G121" s="16">
        <v>0</v>
      </c>
      <c r="H121" s="16"/>
      <c r="I121" s="16"/>
      <c r="J121" s="16">
        <v>350</v>
      </c>
      <c r="K121" s="16"/>
      <c r="L121" s="16"/>
      <c r="M121" s="16"/>
      <c r="N121" s="31"/>
    </row>
    <row r="122" spans="1:14" ht="25" customHeight="1">
      <c r="A122" s="19" t="s">
        <v>201</v>
      </c>
      <c r="B122" s="16">
        <v>0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/>
      <c r="I122" s="16"/>
      <c r="J122" s="16"/>
      <c r="K122" s="16"/>
      <c r="L122" s="16"/>
      <c r="M122" s="16"/>
      <c r="N122" s="31"/>
    </row>
    <row r="123" spans="1:14" ht="24" customHeight="1">
      <c r="A123" s="19" t="s">
        <v>95</v>
      </c>
      <c r="B123" s="16">
        <v>0</v>
      </c>
      <c r="C123" s="16">
        <v>0</v>
      </c>
      <c r="D123" s="16">
        <v>0</v>
      </c>
      <c r="E123" s="16">
        <v>0</v>
      </c>
      <c r="F123" s="16">
        <v>1209.9000000000001</v>
      </c>
      <c r="G123" s="16">
        <v>748.16</v>
      </c>
      <c r="H123" s="16"/>
      <c r="I123" s="16"/>
      <c r="J123" s="16"/>
      <c r="K123" s="16"/>
      <c r="L123" s="16"/>
      <c r="M123" s="16"/>
      <c r="N123" s="31"/>
    </row>
    <row r="124" spans="1:14" ht="19">
      <c r="A124" s="19" t="s">
        <v>96</v>
      </c>
      <c r="B124" s="16">
        <v>0</v>
      </c>
      <c r="C124" s="16">
        <v>0</v>
      </c>
      <c r="D124" s="16">
        <v>0</v>
      </c>
      <c r="E124" s="16">
        <v>100</v>
      </c>
      <c r="F124" s="16">
        <v>100.94</v>
      </c>
      <c r="G124" s="16">
        <v>133.5</v>
      </c>
      <c r="H124" s="16">
        <v>107.7</v>
      </c>
      <c r="I124" s="16">
        <v>93.82</v>
      </c>
      <c r="J124" s="16">
        <v>78.55</v>
      </c>
      <c r="K124" s="16"/>
      <c r="L124" s="16">
        <v>41.76</v>
      </c>
      <c r="M124" s="16">
        <v>54.9</v>
      </c>
      <c r="N124" s="31"/>
    </row>
    <row r="125" spans="1:14" ht="19">
      <c r="A125" s="19" t="s">
        <v>97</v>
      </c>
      <c r="B125" s="16">
        <v>0</v>
      </c>
      <c r="C125" s="16">
        <v>0</v>
      </c>
      <c r="D125" s="16">
        <v>0</v>
      </c>
      <c r="E125" s="16">
        <v>500</v>
      </c>
      <c r="F125" s="16">
        <v>658.77</v>
      </c>
      <c r="G125" s="16">
        <v>615.45000000000005</v>
      </c>
      <c r="H125" s="16">
        <v>742.43</v>
      </c>
      <c r="I125" s="16">
        <v>222.89</v>
      </c>
      <c r="J125" s="16">
        <v>635.34</v>
      </c>
      <c r="K125" s="16">
        <v>565.98</v>
      </c>
      <c r="L125" s="16">
        <v>801.11</v>
      </c>
      <c r="M125" s="16">
        <v>542.36</v>
      </c>
      <c r="N125" s="31"/>
    </row>
    <row r="126" spans="1:14" ht="20">
      <c r="A126" s="17" t="s">
        <v>98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8"/>
    </row>
    <row r="127" spans="1:14" ht="19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31"/>
    </row>
    <row r="128" spans="1:14" ht="25" customHeight="1">
      <c r="A128" s="20" t="s">
        <v>202</v>
      </c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31"/>
    </row>
    <row r="129" spans="1:14" ht="23" customHeight="1">
      <c r="A129" s="19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31"/>
    </row>
    <row r="130" spans="1:14" ht="24" customHeight="1">
      <c r="A130" s="15" t="s">
        <v>86</v>
      </c>
      <c r="B130" s="16">
        <v>2824</v>
      </c>
      <c r="C130" s="16">
        <v>2824</v>
      </c>
      <c r="D130" s="16">
        <v>3036</v>
      </c>
      <c r="E130" s="16">
        <v>3036</v>
      </c>
      <c r="F130" s="16">
        <v>3036</v>
      </c>
      <c r="G130" s="16">
        <v>3036</v>
      </c>
      <c r="H130" s="16">
        <v>3036</v>
      </c>
      <c r="I130" s="16">
        <v>3036</v>
      </c>
      <c r="J130" s="16">
        <v>3036</v>
      </c>
      <c r="K130" s="16">
        <v>3036</v>
      </c>
      <c r="L130" s="16">
        <v>5674</v>
      </c>
      <c r="M130" s="16">
        <v>3036</v>
      </c>
      <c r="N130" s="31"/>
    </row>
    <row r="131" spans="1:14" ht="20" customHeight="1">
      <c r="A131" s="15" t="s">
        <v>87</v>
      </c>
      <c r="B131" s="16">
        <v>250</v>
      </c>
      <c r="C131" s="16">
        <v>250</v>
      </c>
      <c r="D131" s="16">
        <v>250</v>
      </c>
      <c r="E131" s="16">
        <v>250</v>
      </c>
      <c r="F131" s="16">
        <v>250</v>
      </c>
      <c r="G131" s="16">
        <v>250</v>
      </c>
      <c r="H131" s="16">
        <v>250</v>
      </c>
      <c r="I131" s="16">
        <v>250</v>
      </c>
      <c r="J131" s="16">
        <v>250</v>
      </c>
      <c r="K131" s="16">
        <v>250</v>
      </c>
      <c r="L131" s="16">
        <v>250</v>
      </c>
      <c r="M131" s="16">
        <v>250</v>
      </c>
      <c r="N131" s="31"/>
    </row>
    <row r="132" spans="1:14" ht="20" customHeight="1">
      <c r="A132" s="15" t="s">
        <v>88</v>
      </c>
      <c r="B132" s="16">
        <v>870</v>
      </c>
      <c r="C132" s="16">
        <v>870</v>
      </c>
      <c r="D132" s="16">
        <v>870</v>
      </c>
      <c r="E132" s="16">
        <v>870</v>
      </c>
      <c r="F132" s="16">
        <v>870</v>
      </c>
      <c r="G132" s="16">
        <v>870</v>
      </c>
      <c r="H132" s="16">
        <v>870</v>
      </c>
      <c r="I132" s="16">
        <v>870</v>
      </c>
      <c r="J132" s="16">
        <v>870</v>
      </c>
      <c r="K132" s="16">
        <v>870</v>
      </c>
      <c r="L132" s="16">
        <v>870</v>
      </c>
      <c r="M132" s="16">
        <v>894</v>
      </c>
      <c r="N132" s="31"/>
    </row>
    <row r="133" spans="1:14" ht="20">
      <c r="A133" s="15" t="s">
        <v>89</v>
      </c>
      <c r="B133" s="16">
        <v>1050</v>
      </c>
      <c r="C133" s="16">
        <v>1050</v>
      </c>
      <c r="D133" s="16">
        <v>1050</v>
      </c>
      <c r="E133" s="16">
        <v>1050</v>
      </c>
      <c r="F133" s="16">
        <v>1050</v>
      </c>
      <c r="G133" s="16">
        <v>1050</v>
      </c>
      <c r="H133" s="16">
        <v>1050</v>
      </c>
      <c r="I133" s="16">
        <v>1050</v>
      </c>
      <c r="J133" s="16">
        <v>1050</v>
      </c>
      <c r="K133" s="16">
        <v>1050</v>
      </c>
      <c r="L133" s="16">
        <v>1050</v>
      </c>
      <c r="M133" s="16">
        <v>1050</v>
      </c>
      <c r="N133" s="31"/>
    </row>
    <row r="134" spans="1:14" ht="20">
      <c r="A134" s="15" t="s">
        <v>99</v>
      </c>
      <c r="B134" s="7">
        <v>0</v>
      </c>
      <c r="C134" s="16">
        <v>0</v>
      </c>
      <c r="D134" s="16">
        <v>1400</v>
      </c>
      <c r="E134" s="16">
        <v>1400</v>
      </c>
      <c r="F134" s="16">
        <v>1400</v>
      </c>
      <c r="G134" s="16">
        <v>1400</v>
      </c>
      <c r="H134" s="16">
        <v>1400</v>
      </c>
      <c r="I134" s="16">
        <v>1400</v>
      </c>
      <c r="J134" s="16">
        <v>1400</v>
      </c>
      <c r="K134" s="16">
        <v>1400</v>
      </c>
      <c r="L134" s="16">
        <v>1400</v>
      </c>
      <c r="M134" s="16">
        <v>1400</v>
      </c>
      <c r="N134" s="31"/>
    </row>
    <row r="135" spans="1:14" ht="20">
      <c r="A135" s="15" t="s">
        <v>100</v>
      </c>
      <c r="B135" s="7">
        <v>0</v>
      </c>
      <c r="C135" s="7">
        <v>0</v>
      </c>
      <c r="D135" s="7">
        <v>150</v>
      </c>
      <c r="E135" s="7">
        <v>150</v>
      </c>
      <c r="F135" s="7">
        <v>150</v>
      </c>
      <c r="G135" s="16">
        <v>150</v>
      </c>
      <c r="H135" s="16">
        <v>150</v>
      </c>
      <c r="I135" s="16">
        <v>150</v>
      </c>
      <c r="J135" s="16">
        <v>150</v>
      </c>
      <c r="K135" s="16">
        <v>150</v>
      </c>
      <c r="L135" s="16">
        <v>150</v>
      </c>
      <c r="M135" s="16">
        <v>150</v>
      </c>
      <c r="N135" s="37"/>
    </row>
    <row r="136" spans="1:14" ht="20">
      <c r="A136" s="15" t="s">
        <v>101</v>
      </c>
      <c r="B136" s="7">
        <v>0</v>
      </c>
      <c r="C136" s="7">
        <v>0</v>
      </c>
      <c r="D136" s="7">
        <v>688</v>
      </c>
      <c r="E136" s="7">
        <v>688</v>
      </c>
      <c r="F136" s="7">
        <v>688</v>
      </c>
      <c r="G136" s="16">
        <v>688</v>
      </c>
      <c r="H136" s="16">
        <v>688</v>
      </c>
      <c r="I136" s="16">
        <v>688</v>
      </c>
      <c r="J136" s="16">
        <v>688</v>
      </c>
      <c r="K136" s="16">
        <v>688</v>
      </c>
      <c r="L136" s="16">
        <v>688</v>
      </c>
      <c r="M136" s="16">
        <v>688</v>
      </c>
      <c r="N136" s="37"/>
    </row>
    <row r="137" spans="1:14" ht="22" customHeight="1">
      <c r="A137" s="15" t="s">
        <v>102</v>
      </c>
      <c r="B137" s="7">
        <v>0</v>
      </c>
      <c r="C137" s="7">
        <v>0</v>
      </c>
      <c r="D137" s="7">
        <v>200</v>
      </c>
      <c r="E137" s="7">
        <v>200</v>
      </c>
      <c r="F137" s="7">
        <v>200</v>
      </c>
      <c r="G137" s="16">
        <v>200</v>
      </c>
      <c r="H137" s="16">
        <v>200</v>
      </c>
      <c r="I137" s="16">
        <v>200</v>
      </c>
      <c r="J137" s="16">
        <v>200</v>
      </c>
      <c r="K137" s="16">
        <v>200</v>
      </c>
      <c r="L137" s="16">
        <v>200</v>
      </c>
      <c r="M137" s="16">
        <v>200</v>
      </c>
      <c r="N137" s="37"/>
    </row>
    <row r="138" spans="1:14" ht="21" customHeight="1">
      <c r="A138" s="15" t="s">
        <v>103</v>
      </c>
      <c r="B138" s="7">
        <v>0</v>
      </c>
      <c r="C138" s="7">
        <v>0</v>
      </c>
      <c r="D138" s="7">
        <v>0</v>
      </c>
      <c r="E138" s="7">
        <v>0</v>
      </c>
      <c r="F138" s="7">
        <v>200</v>
      </c>
      <c r="G138" s="16">
        <v>200</v>
      </c>
      <c r="H138" s="16">
        <v>200</v>
      </c>
      <c r="I138" s="16">
        <v>200</v>
      </c>
      <c r="J138" s="16">
        <v>200</v>
      </c>
      <c r="K138" s="16">
        <v>200</v>
      </c>
      <c r="L138" s="16">
        <v>200</v>
      </c>
      <c r="M138" s="16">
        <v>200</v>
      </c>
      <c r="N138" s="37"/>
    </row>
    <row r="139" spans="1:14" ht="20" customHeight="1">
      <c r="A139" s="17" t="s">
        <v>104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8"/>
    </row>
    <row r="140" spans="1:14" ht="22" customHeight="1">
      <c r="A140" s="32" t="s">
        <v>105</v>
      </c>
      <c r="B140" s="8">
        <f>SUM(B64:B139)</f>
        <v>84797.77</v>
      </c>
      <c r="C140" s="8">
        <f t="shared" ref="C140:M140" si="2">SUM(C64:C139)</f>
        <v>74897.279999999999</v>
      </c>
      <c r="D140" s="8">
        <f t="shared" si="2"/>
        <v>99282.829999999987</v>
      </c>
      <c r="E140" s="8">
        <f t="shared" si="2"/>
        <v>93957.3</v>
      </c>
      <c r="F140" s="8">
        <f>SUM(F64:F139)</f>
        <v>93532.459999999992</v>
      </c>
      <c r="G140" s="8">
        <f t="shared" si="2"/>
        <v>96710.309999999969</v>
      </c>
      <c r="H140" s="8">
        <f t="shared" si="2"/>
        <v>94602.14999999998</v>
      </c>
      <c r="I140" s="8">
        <f t="shared" si="2"/>
        <v>92257.62999999999</v>
      </c>
      <c r="J140" s="8">
        <f t="shared" si="2"/>
        <v>102028.97</v>
      </c>
      <c r="K140" s="8">
        <f t="shared" si="2"/>
        <v>92746.449999999983</v>
      </c>
      <c r="L140" s="8">
        <f t="shared" si="2"/>
        <v>116157.21999999999</v>
      </c>
      <c r="M140" s="8">
        <f t="shared" si="2"/>
        <v>108708.72999999998</v>
      </c>
      <c r="N140" s="55">
        <f>SUM(B140:M140)</f>
        <v>1149679.0999999999</v>
      </c>
    </row>
    <row r="141" spans="1:14" ht="19">
      <c r="A141" s="20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31"/>
    </row>
    <row r="142" spans="1:14" ht="23" customHeight="1">
      <c r="A142" s="26" t="s">
        <v>203</v>
      </c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31"/>
    </row>
    <row r="143" spans="1:14" ht="23" customHeight="1">
      <c r="A143" s="17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8"/>
    </row>
    <row r="144" spans="1:14" ht="22" customHeight="1">
      <c r="A144" s="17" t="s">
        <v>17</v>
      </c>
      <c r="B144" s="16">
        <v>405.4</v>
      </c>
      <c r="C144" s="16">
        <v>952.36</v>
      </c>
      <c r="D144" s="16">
        <v>1597.4</v>
      </c>
      <c r="E144" s="16">
        <v>2659.18</v>
      </c>
      <c r="F144" s="16">
        <v>3735.8</v>
      </c>
      <c r="G144" s="16">
        <v>4096.0200000000004</v>
      </c>
      <c r="H144" s="16"/>
      <c r="I144" s="16">
        <v>981.68</v>
      </c>
      <c r="J144" s="16">
        <v>464.74</v>
      </c>
      <c r="K144" s="16">
        <v>225.77</v>
      </c>
      <c r="L144" s="16">
        <v>79.2</v>
      </c>
      <c r="M144" s="16">
        <v>79.2</v>
      </c>
      <c r="N144" s="8"/>
    </row>
    <row r="145" spans="1:14" ht="21" customHeight="1">
      <c r="A145" s="17" t="s">
        <v>18</v>
      </c>
      <c r="B145" s="16">
        <v>250</v>
      </c>
      <c r="C145" s="16">
        <v>250</v>
      </c>
      <c r="D145" s="16">
        <v>250</v>
      </c>
      <c r="E145" s="16">
        <v>250</v>
      </c>
      <c r="F145" s="16">
        <v>250</v>
      </c>
      <c r="G145" s="16">
        <v>250</v>
      </c>
      <c r="H145" s="16">
        <v>250</v>
      </c>
      <c r="I145" s="16">
        <v>250</v>
      </c>
      <c r="J145" s="16">
        <v>250</v>
      </c>
      <c r="K145" s="16">
        <v>250</v>
      </c>
      <c r="L145" s="16">
        <v>250</v>
      </c>
      <c r="M145" s="16">
        <v>250</v>
      </c>
      <c r="N145" s="8"/>
    </row>
    <row r="146" spans="1:14" ht="21" customHeight="1">
      <c r="A146" s="17" t="s">
        <v>19</v>
      </c>
      <c r="B146" s="16">
        <v>1157.8699999999999</v>
      </c>
      <c r="C146" s="16">
        <v>1875.9</v>
      </c>
      <c r="D146" s="16">
        <v>825.08</v>
      </c>
      <c r="E146" s="16">
        <v>2448.64</v>
      </c>
      <c r="F146" s="16">
        <v>2095.77</v>
      </c>
      <c r="G146" s="16">
        <v>1655.92</v>
      </c>
      <c r="H146" s="16">
        <v>1029.48</v>
      </c>
      <c r="I146" s="16">
        <v>1956.62</v>
      </c>
      <c r="J146" s="16">
        <v>1662.4</v>
      </c>
      <c r="K146" s="16">
        <v>432.89</v>
      </c>
      <c r="L146" s="16">
        <v>682.08</v>
      </c>
      <c r="M146" s="16">
        <v>852.7</v>
      </c>
      <c r="N146" s="8"/>
    </row>
    <row r="147" spans="1:14" ht="20" customHeight="1">
      <c r="A147" s="17" t="s">
        <v>20</v>
      </c>
      <c r="B147" s="16"/>
      <c r="C147" s="16"/>
      <c r="D147" s="16"/>
      <c r="E147" s="16"/>
      <c r="F147" s="16"/>
      <c r="G147" s="16"/>
      <c r="H147" s="16">
        <v>3000</v>
      </c>
      <c r="I147" s="16"/>
      <c r="J147" s="16"/>
      <c r="K147" s="16"/>
      <c r="L147" s="16"/>
      <c r="M147" s="16"/>
      <c r="N147" s="8"/>
    </row>
    <row r="148" spans="1:14" ht="20">
      <c r="A148" s="32" t="s">
        <v>21</v>
      </c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8"/>
    </row>
    <row r="149" spans="1:14" ht="19">
      <c r="A149" s="6" t="s">
        <v>204</v>
      </c>
      <c r="B149" s="16">
        <v>0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/>
      <c r="I149" s="16"/>
      <c r="J149" s="16"/>
      <c r="K149" s="16"/>
      <c r="L149" s="16"/>
      <c r="M149" s="16"/>
      <c r="N149" s="8"/>
    </row>
    <row r="150" spans="1:14" ht="19">
      <c r="A150" s="6" t="s">
        <v>205</v>
      </c>
      <c r="B150" s="16">
        <v>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/>
      <c r="I150" s="16"/>
      <c r="J150" s="16"/>
      <c r="K150" s="16"/>
      <c r="L150" s="16"/>
      <c r="M150" s="16"/>
      <c r="N150" s="8"/>
    </row>
    <row r="151" spans="1:14" ht="19">
      <c r="A151" s="6" t="s">
        <v>206</v>
      </c>
      <c r="B151" s="16">
        <v>0</v>
      </c>
      <c r="C151" s="16">
        <v>3200</v>
      </c>
      <c r="D151" s="16">
        <v>0</v>
      </c>
      <c r="E151" s="16">
        <v>0</v>
      </c>
      <c r="F151" s="16">
        <v>0</v>
      </c>
      <c r="G151" s="16">
        <v>0</v>
      </c>
      <c r="H151" s="16"/>
      <c r="I151" s="16"/>
      <c r="J151" s="16"/>
      <c r="K151" s="16"/>
      <c r="L151" s="16"/>
      <c r="M151" s="16"/>
      <c r="N151" s="8"/>
    </row>
    <row r="152" spans="1:14" ht="20" customHeight="1">
      <c r="A152" s="6" t="s">
        <v>207</v>
      </c>
      <c r="B152" s="16">
        <v>0</v>
      </c>
      <c r="C152" s="16">
        <v>880</v>
      </c>
      <c r="D152" s="16">
        <v>2105.23</v>
      </c>
      <c r="E152" s="16">
        <v>0</v>
      </c>
      <c r="F152" s="16">
        <v>0</v>
      </c>
      <c r="G152" s="16">
        <v>0</v>
      </c>
      <c r="H152" s="16"/>
      <c r="I152" s="16"/>
      <c r="J152" s="16"/>
      <c r="K152" s="16"/>
      <c r="L152" s="16"/>
      <c r="M152" s="16"/>
      <c r="N152" s="8"/>
    </row>
    <row r="153" spans="1:14" ht="19">
      <c r="A153" s="6" t="s">
        <v>208</v>
      </c>
      <c r="B153" s="16">
        <v>0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/>
      <c r="I153" s="16"/>
      <c r="J153" s="16"/>
      <c r="K153" s="16"/>
      <c r="L153" s="16"/>
      <c r="M153" s="16"/>
      <c r="N153" s="8"/>
    </row>
    <row r="154" spans="1:14" ht="19">
      <c r="A154" s="6" t="s">
        <v>209</v>
      </c>
      <c r="B154" s="16">
        <v>0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/>
      <c r="I154" s="16"/>
      <c r="J154" s="16"/>
      <c r="K154" s="16"/>
      <c r="L154" s="16"/>
      <c r="M154" s="16"/>
      <c r="N154" s="8"/>
    </row>
    <row r="155" spans="1:14" ht="20" customHeight="1">
      <c r="A155" s="6" t="s">
        <v>22</v>
      </c>
      <c r="B155" s="16">
        <v>0</v>
      </c>
      <c r="C155" s="16">
        <v>0</v>
      </c>
      <c r="D155" s="16">
        <v>0</v>
      </c>
      <c r="E155" s="16">
        <v>245.75</v>
      </c>
      <c r="F155" s="16">
        <v>0</v>
      </c>
      <c r="G155" s="16">
        <v>0</v>
      </c>
      <c r="H155" s="16"/>
      <c r="I155" s="16"/>
      <c r="J155" s="16"/>
      <c r="K155" s="16"/>
      <c r="L155" s="16"/>
      <c r="M155" s="16"/>
      <c r="N155" s="8"/>
    </row>
    <row r="156" spans="1:14" ht="19">
      <c r="A156" s="6" t="s">
        <v>210</v>
      </c>
      <c r="B156" s="16">
        <v>0</v>
      </c>
      <c r="C156" s="16">
        <v>7000</v>
      </c>
      <c r="D156" s="16">
        <v>0</v>
      </c>
      <c r="E156" s="16">
        <v>0</v>
      </c>
      <c r="F156" s="16">
        <v>0</v>
      </c>
      <c r="G156" s="16">
        <v>0</v>
      </c>
      <c r="H156" s="16"/>
      <c r="I156" s="16"/>
      <c r="J156" s="16"/>
      <c r="K156" s="16"/>
      <c r="L156" s="16"/>
      <c r="M156" s="16"/>
      <c r="N156" s="8"/>
    </row>
    <row r="157" spans="1:14" ht="20">
      <c r="A157" s="33" t="s">
        <v>211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8"/>
    </row>
    <row r="158" spans="1:14" ht="19">
      <c r="A158" s="38" t="s">
        <v>212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8"/>
    </row>
    <row r="159" spans="1:14" ht="20" customHeight="1">
      <c r="A159" s="6" t="s">
        <v>23</v>
      </c>
      <c r="B159" s="16">
        <v>0</v>
      </c>
      <c r="C159" s="16">
        <v>0</v>
      </c>
      <c r="D159" s="16">
        <v>100</v>
      </c>
      <c r="E159" s="16">
        <v>0</v>
      </c>
      <c r="F159" s="16">
        <v>0</v>
      </c>
      <c r="G159" s="16">
        <v>0</v>
      </c>
      <c r="H159" s="16"/>
      <c r="I159" s="16"/>
      <c r="J159" s="16"/>
      <c r="K159" s="16"/>
      <c r="L159" s="16"/>
      <c r="M159" s="16"/>
      <c r="N159" s="8"/>
    </row>
    <row r="160" spans="1:14" ht="20" customHeight="1">
      <c r="A160" s="6" t="s">
        <v>24</v>
      </c>
      <c r="B160" s="16">
        <v>0</v>
      </c>
      <c r="C160" s="16">
        <v>0</v>
      </c>
      <c r="D160" s="16">
        <v>100</v>
      </c>
      <c r="E160" s="16">
        <v>0</v>
      </c>
      <c r="F160" s="16">
        <v>0</v>
      </c>
      <c r="G160" s="16">
        <v>0</v>
      </c>
      <c r="H160" s="16"/>
      <c r="I160" s="16"/>
      <c r="J160" s="16"/>
      <c r="K160" s="16"/>
      <c r="L160" s="16"/>
      <c r="M160" s="16"/>
      <c r="N160" s="8"/>
    </row>
    <row r="161" spans="1:14" ht="19">
      <c r="A161" s="6" t="s">
        <v>213</v>
      </c>
      <c r="B161" s="16">
        <v>0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/>
      <c r="I161" s="16"/>
      <c r="J161" s="16"/>
      <c r="K161" s="16"/>
      <c r="L161" s="16"/>
      <c r="M161" s="16"/>
      <c r="N161" s="8"/>
    </row>
    <row r="162" spans="1:14" ht="19">
      <c r="A162" s="6" t="s">
        <v>214</v>
      </c>
      <c r="B162" s="16">
        <v>0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/>
      <c r="I162" s="16"/>
      <c r="J162" s="16"/>
      <c r="K162" s="16"/>
      <c r="L162" s="16"/>
      <c r="M162" s="16"/>
      <c r="N162" s="8"/>
    </row>
    <row r="163" spans="1:14" ht="19">
      <c r="A163" s="6" t="s">
        <v>215</v>
      </c>
      <c r="B163" s="16">
        <v>0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/>
      <c r="I163" s="16"/>
      <c r="J163" s="16"/>
      <c r="K163" s="16"/>
      <c r="L163" s="16"/>
      <c r="M163" s="16"/>
      <c r="N163" s="8"/>
    </row>
    <row r="164" spans="1:14" ht="19">
      <c r="A164" s="6" t="s">
        <v>25</v>
      </c>
      <c r="B164" s="16">
        <v>0</v>
      </c>
      <c r="C164" s="16">
        <v>0</v>
      </c>
      <c r="D164" s="16">
        <v>2800</v>
      </c>
      <c r="E164" s="16">
        <v>0</v>
      </c>
      <c r="F164" s="16">
        <v>0</v>
      </c>
      <c r="G164" s="16">
        <v>0</v>
      </c>
      <c r="H164" s="16"/>
      <c r="I164" s="16"/>
      <c r="J164" s="16"/>
      <c r="K164" s="16"/>
      <c r="L164" s="16"/>
      <c r="M164" s="16"/>
      <c r="N164" s="8"/>
    </row>
    <row r="165" spans="1:14" ht="19">
      <c r="A165" s="6" t="s">
        <v>26</v>
      </c>
      <c r="B165" s="16">
        <v>0</v>
      </c>
      <c r="C165" s="16">
        <v>0</v>
      </c>
      <c r="D165" s="16">
        <v>0</v>
      </c>
      <c r="E165" s="16">
        <v>103.19</v>
      </c>
      <c r="F165" s="16">
        <v>0</v>
      </c>
      <c r="G165" s="16">
        <v>0</v>
      </c>
      <c r="H165" s="16"/>
      <c r="I165" s="16"/>
      <c r="J165" s="16"/>
      <c r="K165" s="16"/>
      <c r="L165" s="16"/>
      <c r="M165" s="16"/>
      <c r="N165" s="8"/>
    </row>
    <row r="166" spans="1:14" ht="22" customHeight="1">
      <c r="A166" s="6" t="s">
        <v>27</v>
      </c>
      <c r="B166" s="16">
        <v>0</v>
      </c>
      <c r="C166" s="16">
        <v>0</v>
      </c>
      <c r="D166" s="16">
        <v>923.31</v>
      </c>
      <c r="E166" s="16">
        <v>112.5</v>
      </c>
      <c r="F166" s="16">
        <v>0</v>
      </c>
      <c r="G166" s="16">
        <v>0</v>
      </c>
      <c r="H166" s="16"/>
      <c r="I166" s="16"/>
      <c r="J166" s="16"/>
      <c r="K166" s="16"/>
      <c r="L166" s="16"/>
      <c r="M166" s="16"/>
      <c r="N166" s="8"/>
    </row>
    <row r="167" spans="1:14" ht="40">
      <c r="A167" s="17" t="s">
        <v>216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8"/>
    </row>
    <row r="168" spans="1:14" ht="20" customHeight="1">
      <c r="A168" s="32" t="s">
        <v>217</v>
      </c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8"/>
    </row>
    <row r="169" spans="1:14" ht="20">
      <c r="A169" s="17" t="s">
        <v>218</v>
      </c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8"/>
    </row>
    <row r="170" spans="1:14" ht="19">
      <c r="A170" s="6" t="s">
        <v>219</v>
      </c>
      <c r="B170" s="16">
        <v>0</v>
      </c>
      <c r="C170" s="16">
        <v>0</v>
      </c>
      <c r="D170" s="16">
        <v>895.77</v>
      </c>
      <c r="E170" s="16">
        <v>0</v>
      </c>
      <c r="F170" s="16">
        <v>0</v>
      </c>
      <c r="G170" s="16">
        <v>0</v>
      </c>
      <c r="H170" s="16"/>
      <c r="I170" s="16"/>
      <c r="J170" s="16"/>
      <c r="K170" s="16"/>
      <c r="L170" s="16"/>
      <c r="M170" s="16"/>
      <c r="N170" s="8"/>
    </row>
    <row r="171" spans="1:14" ht="19">
      <c r="A171" s="6" t="s">
        <v>220</v>
      </c>
      <c r="B171" s="16">
        <v>0</v>
      </c>
      <c r="C171" s="16">
        <v>0</v>
      </c>
      <c r="D171" s="16">
        <v>594.15</v>
      </c>
      <c r="E171" s="16">
        <v>0</v>
      </c>
      <c r="F171" s="16">
        <v>0</v>
      </c>
      <c r="G171" s="16">
        <v>0</v>
      </c>
      <c r="H171" s="16"/>
      <c r="I171" s="16"/>
      <c r="J171" s="16"/>
      <c r="K171" s="16"/>
      <c r="L171" s="16"/>
      <c r="M171" s="16"/>
      <c r="N171" s="8"/>
    </row>
    <row r="172" spans="1:14" ht="21" customHeight="1">
      <c r="A172" s="6" t="s">
        <v>221</v>
      </c>
      <c r="B172" s="16">
        <v>0</v>
      </c>
      <c r="C172" s="16">
        <v>0</v>
      </c>
      <c r="D172" s="16">
        <v>0</v>
      </c>
      <c r="E172" s="16">
        <v>469.5</v>
      </c>
      <c r="F172" s="16">
        <v>0</v>
      </c>
      <c r="G172" s="16">
        <v>0</v>
      </c>
      <c r="H172" s="16"/>
      <c r="I172" s="16"/>
      <c r="J172" s="16"/>
      <c r="K172" s="16"/>
      <c r="L172" s="16"/>
      <c r="M172" s="16"/>
      <c r="N172" s="8"/>
    </row>
    <row r="173" spans="1:14" ht="22" customHeight="1">
      <c r="A173" s="6" t="s">
        <v>222</v>
      </c>
      <c r="B173" s="16">
        <v>0</v>
      </c>
      <c r="C173" s="16">
        <v>0</v>
      </c>
      <c r="D173" s="16">
        <v>115.2</v>
      </c>
      <c r="E173" s="16">
        <v>0</v>
      </c>
      <c r="F173" s="16">
        <v>0</v>
      </c>
      <c r="G173" s="16">
        <v>0</v>
      </c>
      <c r="H173" s="16"/>
      <c r="I173" s="16"/>
      <c r="J173" s="16"/>
      <c r="K173" s="16"/>
      <c r="L173" s="16"/>
      <c r="M173" s="16"/>
      <c r="N173" s="8"/>
    </row>
    <row r="174" spans="1:14" ht="19" customHeight="1">
      <c r="A174" s="6" t="s">
        <v>210</v>
      </c>
      <c r="B174" s="16">
        <v>0</v>
      </c>
      <c r="C174" s="16">
        <v>0</v>
      </c>
      <c r="D174" s="16">
        <v>1500</v>
      </c>
      <c r="E174" s="16">
        <v>0</v>
      </c>
      <c r="F174" s="16">
        <v>0</v>
      </c>
      <c r="G174" s="16">
        <v>0</v>
      </c>
      <c r="H174" s="16"/>
      <c r="I174" s="16"/>
      <c r="J174" s="16"/>
      <c r="K174" s="16"/>
      <c r="L174" s="16"/>
      <c r="M174" s="16"/>
      <c r="N174" s="8"/>
    </row>
    <row r="175" spans="1:14" ht="19">
      <c r="A175" s="14" t="s">
        <v>223</v>
      </c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8"/>
    </row>
    <row r="176" spans="1:14" ht="20" customHeight="1">
      <c r="A176" s="17" t="s">
        <v>224</v>
      </c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8"/>
    </row>
    <row r="177" spans="1:14" ht="20" customHeight="1">
      <c r="A177" s="6" t="s">
        <v>210</v>
      </c>
      <c r="B177" s="16">
        <v>0</v>
      </c>
      <c r="C177" s="16">
        <v>0</v>
      </c>
      <c r="D177" s="16">
        <v>800</v>
      </c>
      <c r="E177" s="16">
        <v>0</v>
      </c>
      <c r="F177" s="16">
        <v>0</v>
      </c>
      <c r="G177" s="16">
        <v>0</v>
      </c>
      <c r="H177" s="16"/>
      <c r="I177" s="16"/>
      <c r="J177" s="16"/>
      <c r="K177" s="16"/>
      <c r="L177" s="16"/>
      <c r="M177" s="16"/>
      <c r="N177" s="8"/>
    </row>
    <row r="178" spans="1:14" ht="20" customHeight="1">
      <c r="A178" s="14" t="s">
        <v>225</v>
      </c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8"/>
    </row>
    <row r="179" spans="1:14" ht="20" customHeight="1">
      <c r="A179" s="38" t="s">
        <v>226</v>
      </c>
      <c r="B179" s="16"/>
      <c r="C179" s="16"/>
      <c r="D179" s="8"/>
      <c r="E179" s="8"/>
      <c r="F179" s="16"/>
      <c r="G179" s="16"/>
      <c r="H179" s="16"/>
      <c r="I179" s="16"/>
      <c r="J179" s="16"/>
      <c r="K179" s="16"/>
      <c r="L179" s="16"/>
      <c r="M179" s="16"/>
      <c r="N179" s="8"/>
    </row>
    <row r="180" spans="1:14" ht="20" customHeight="1">
      <c r="A180" s="17" t="s">
        <v>227</v>
      </c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8"/>
    </row>
    <row r="181" spans="1:14" ht="20" customHeight="1">
      <c r="A181" s="15" t="s">
        <v>28</v>
      </c>
      <c r="B181" s="16">
        <v>350</v>
      </c>
      <c r="C181" s="16">
        <v>0</v>
      </c>
      <c r="D181" s="16">
        <v>0</v>
      </c>
      <c r="E181" s="16">
        <v>0</v>
      </c>
      <c r="F181" s="16">
        <v>370</v>
      </c>
      <c r="G181" s="16">
        <v>0</v>
      </c>
      <c r="H181" s="16"/>
      <c r="I181" s="16">
        <v>270</v>
      </c>
      <c r="J181" s="16">
        <v>270</v>
      </c>
      <c r="K181" s="16">
        <v>270</v>
      </c>
      <c r="L181" s="16">
        <v>350</v>
      </c>
      <c r="M181" s="16"/>
      <c r="N181" s="8"/>
    </row>
    <row r="182" spans="1:14" ht="20" customHeight="1">
      <c r="N182" s="8"/>
    </row>
    <row r="183" spans="1:14" ht="20" customHeight="1">
      <c r="A183" s="17" t="s">
        <v>41</v>
      </c>
      <c r="B183" s="16">
        <v>160</v>
      </c>
      <c r="C183" s="16">
        <v>161.91999999999999</v>
      </c>
      <c r="D183" s="16">
        <v>160</v>
      </c>
      <c r="E183" s="16">
        <v>160</v>
      </c>
      <c r="F183" s="16">
        <v>160</v>
      </c>
      <c r="G183" s="16">
        <v>160</v>
      </c>
      <c r="H183" s="16">
        <v>160</v>
      </c>
      <c r="I183" s="16">
        <v>162.5</v>
      </c>
      <c r="J183" s="16">
        <v>160</v>
      </c>
      <c r="K183" s="16">
        <v>160</v>
      </c>
      <c r="L183" s="16">
        <v>160</v>
      </c>
      <c r="M183" s="16">
        <v>160</v>
      </c>
      <c r="N183" s="8"/>
    </row>
    <row r="184" spans="1:14" ht="23" customHeight="1">
      <c r="A184" s="17" t="s">
        <v>42</v>
      </c>
      <c r="B184" s="16">
        <v>1391.5</v>
      </c>
      <c r="C184" s="16">
        <v>1334</v>
      </c>
      <c r="D184" s="16">
        <v>1414.5</v>
      </c>
      <c r="E184" s="16">
        <v>0</v>
      </c>
      <c r="F184" s="16">
        <v>0</v>
      </c>
      <c r="G184" s="16">
        <v>1811.5</v>
      </c>
      <c r="H184" s="16">
        <v>1566</v>
      </c>
      <c r="I184" s="16">
        <v>1733</v>
      </c>
      <c r="J184" s="16">
        <v>1653</v>
      </c>
      <c r="K184" s="16">
        <v>1546</v>
      </c>
      <c r="L184" s="16">
        <v>1520</v>
      </c>
      <c r="M184" s="16">
        <v>1711</v>
      </c>
      <c r="N184" s="8"/>
    </row>
    <row r="185" spans="1:14" ht="23" customHeight="1">
      <c r="A185" s="17" t="s">
        <v>43</v>
      </c>
      <c r="B185" s="16"/>
      <c r="C185" s="16"/>
      <c r="D185" s="16"/>
      <c r="E185" s="16"/>
      <c r="F185" s="16"/>
      <c r="G185" s="16"/>
      <c r="H185" s="16">
        <v>1950</v>
      </c>
      <c r="I185" s="16"/>
      <c r="J185" s="16"/>
      <c r="K185" s="16"/>
      <c r="L185" s="16"/>
      <c r="M185" s="16"/>
      <c r="N185" s="8"/>
    </row>
    <row r="186" spans="1:14" ht="22" customHeight="1">
      <c r="A186" s="15" t="s">
        <v>228</v>
      </c>
      <c r="B186" s="16">
        <v>0</v>
      </c>
      <c r="C186" s="16">
        <v>0</v>
      </c>
      <c r="D186" s="16">
        <v>0</v>
      </c>
      <c r="E186" s="16">
        <v>0</v>
      </c>
      <c r="F186" s="16">
        <v>2276.5</v>
      </c>
      <c r="G186" s="16">
        <v>0</v>
      </c>
      <c r="H186" s="16"/>
      <c r="I186" s="16"/>
      <c r="J186" s="16"/>
      <c r="K186" s="16"/>
      <c r="L186" s="16"/>
      <c r="M186" s="16"/>
      <c r="N186" s="8"/>
    </row>
    <row r="187" spans="1:14" ht="20">
      <c r="A187" s="15" t="s">
        <v>229</v>
      </c>
      <c r="B187" s="16">
        <v>0</v>
      </c>
      <c r="C187" s="16">
        <v>0</v>
      </c>
      <c r="D187" s="16">
        <v>0</v>
      </c>
      <c r="E187" s="16">
        <v>0</v>
      </c>
      <c r="F187" s="16">
        <v>1547.3</v>
      </c>
      <c r="G187" s="16">
        <v>0</v>
      </c>
      <c r="H187" s="16"/>
      <c r="I187" s="16"/>
      <c r="J187" s="16"/>
      <c r="K187" s="16"/>
      <c r="L187" s="16"/>
      <c r="M187" s="16"/>
      <c r="N187" s="8"/>
    </row>
    <row r="188" spans="1:14" ht="20">
      <c r="A188" s="15" t="s">
        <v>230</v>
      </c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8"/>
    </row>
    <row r="189" spans="1:14" ht="21" customHeight="1">
      <c r="A189" s="17" t="s">
        <v>231</v>
      </c>
      <c r="B189" s="16">
        <v>0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/>
      <c r="I189" s="16"/>
      <c r="J189" s="16"/>
      <c r="K189" s="16"/>
      <c r="L189" s="16"/>
      <c r="M189" s="16"/>
      <c r="N189" s="8"/>
    </row>
    <row r="190" spans="1:14" ht="22" customHeight="1">
      <c r="A190" s="17" t="s">
        <v>232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8"/>
    </row>
    <row r="191" spans="1:14" ht="20">
      <c r="A191" s="15" t="s">
        <v>44</v>
      </c>
      <c r="B191" s="16">
        <v>0</v>
      </c>
      <c r="C191" s="16">
        <v>0</v>
      </c>
      <c r="D191" s="16">
        <v>1260</v>
      </c>
      <c r="E191" s="16">
        <v>0</v>
      </c>
      <c r="F191" s="16">
        <v>1260</v>
      </c>
      <c r="G191" s="16">
        <v>0</v>
      </c>
      <c r="H191" s="16"/>
      <c r="I191" s="16"/>
      <c r="J191" s="16">
        <v>1680</v>
      </c>
      <c r="K191" s="16"/>
      <c r="L191" s="16"/>
      <c r="M191" s="16">
        <v>1260</v>
      </c>
      <c r="N191" s="8"/>
    </row>
    <row r="192" spans="1:14" ht="20">
      <c r="A192" s="15" t="s">
        <v>45</v>
      </c>
      <c r="B192" s="16">
        <v>0</v>
      </c>
      <c r="C192" s="16">
        <v>0</v>
      </c>
      <c r="D192" s="16">
        <v>66</v>
      </c>
      <c r="E192" s="16">
        <v>0</v>
      </c>
      <c r="F192" s="16">
        <v>0</v>
      </c>
      <c r="G192" s="16">
        <v>49</v>
      </c>
      <c r="H192" s="16"/>
      <c r="I192" s="16"/>
      <c r="J192" s="16"/>
      <c r="K192" s="16"/>
      <c r="L192" s="16"/>
      <c r="M192" s="16"/>
      <c r="N192" s="8"/>
    </row>
    <row r="193" spans="1:14" ht="20">
      <c r="A193" s="15" t="s">
        <v>46</v>
      </c>
      <c r="B193" s="16">
        <v>0</v>
      </c>
      <c r="C193" s="16">
        <v>0</v>
      </c>
      <c r="D193" s="16">
        <v>77</v>
      </c>
      <c r="E193" s="16">
        <v>0</v>
      </c>
      <c r="F193" s="16">
        <v>0</v>
      </c>
      <c r="G193" s="16">
        <v>0</v>
      </c>
      <c r="H193" s="16"/>
      <c r="I193" s="16"/>
      <c r="J193" s="16"/>
      <c r="K193" s="16"/>
      <c r="L193" s="16"/>
      <c r="M193" s="16"/>
      <c r="N193" s="8"/>
    </row>
    <row r="194" spans="1:14" ht="20">
      <c r="A194" s="15" t="s">
        <v>47</v>
      </c>
      <c r="B194" s="16">
        <v>0</v>
      </c>
      <c r="C194" s="16">
        <v>80.58</v>
      </c>
      <c r="D194" s="16">
        <v>0</v>
      </c>
      <c r="E194" s="16">
        <v>0</v>
      </c>
      <c r="F194" s="16">
        <v>0</v>
      </c>
      <c r="G194" s="16">
        <v>0</v>
      </c>
      <c r="H194" s="16"/>
      <c r="I194" s="16"/>
      <c r="J194" s="16"/>
      <c r="K194" s="16"/>
      <c r="L194" s="16"/>
      <c r="M194" s="16"/>
      <c r="N194" s="8"/>
    </row>
    <row r="195" spans="1:14" ht="20">
      <c r="A195" s="15" t="s">
        <v>48</v>
      </c>
      <c r="B195" s="16">
        <v>108.3</v>
      </c>
      <c r="C195" s="16">
        <v>0</v>
      </c>
      <c r="D195" s="16">
        <v>0</v>
      </c>
      <c r="E195" s="16">
        <v>0</v>
      </c>
      <c r="F195" s="16">
        <v>509.6</v>
      </c>
      <c r="G195" s="16">
        <v>0</v>
      </c>
      <c r="H195" s="16">
        <v>274.77999999999997</v>
      </c>
      <c r="I195" s="16"/>
      <c r="J195" s="16"/>
      <c r="K195" s="16"/>
      <c r="L195" s="16"/>
      <c r="M195" s="16"/>
      <c r="N195" s="8"/>
    </row>
    <row r="196" spans="1:14" ht="20">
      <c r="A196" s="15" t="s">
        <v>49</v>
      </c>
      <c r="B196" s="16">
        <v>59.84</v>
      </c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67.8</v>
      </c>
      <c r="I196" s="16"/>
      <c r="J196" s="16">
        <v>339.24</v>
      </c>
      <c r="K196" s="16"/>
      <c r="L196" s="16"/>
      <c r="M196" s="16"/>
      <c r="N196" s="8"/>
    </row>
    <row r="197" spans="1:14" ht="20">
      <c r="A197" s="15" t="s">
        <v>50</v>
      </c>
      <c r="B197" s="16">
        <v>0</v>
      </c>
      <c r="C197" s="16">
        <v>0</v>
      </c>
      <c r="D197" s="16">
        <v>0</v>
      </c>
      <c r="E197" s="16">
        <v>136</v>
      </c>
      <c r="F197" s="16">
        <v>99.56</v>
      </c>
      <c r="G197" s="16">
        <v>0</v>
      </c>
      <c r="H197" s="16">
        <v>271.39999999999998</v>
      </c>
      <c r="I197" s="16"/>
      <c r="J197" s="16"/>
      <c r="K197" s="16">
        <v>152.88999999999999</v>
      </c>
      <c r="L197" s="16">
        <v>87.92</v>
      </c>
      <c r="M197" s="16">
        <v>206.83</v>
      </c>
      <c r="N197" s="8"/>
    </row>
    <row r="198" spans="1:14" ht="20">
      <c r="A198" s="33" t="s">
        <v>233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8"/>
    </row>
    <row r="199" spans="1:14" ht="20">
      <c r="A199" s="17" t="s">
        <v>234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8"/>
    </row>
    <row r="200" spans="1:14" ht="40">
      <c r="A200" s="15" t="s">
        <v>51</v>
      </c>
      <c r="B200" s="16">
        <v>446</v>
      </c>
      <c r="C200" s="16">
        <v>0</v>
      </c>
      <c r="D200" s="16">
        <v>748</v>
      </c>
      <c r="E200" s="16">
        <v>0</v>
      </c>
      <c r="F200" s="16">
        <v>718.1</v>
      </c>
      <c r="G200" s="16">
        <v>0</v>
      </c>
      <c r="H200" s="16">
        <v>745</v>
      </c>
      <c r="I200" s="16">
        <v>373</v>
      </c>
      <c r="J200" s="16">
        <v>437.5</v>
      </c>
      <c r="K200" s="16">
        <v>519</v>
      </c>
      <c r="L200" s="16">
        <v>620.20000000000005</v>
      </c>
      <c r="M200" s="16"/>
      <c r="N200" s="8"/>
    </row>
    <row r="201" spans="1:14" ht="20">
      <c r="A201" s="15" t="s">
        <v>52</v>
      </c>
      <c r="B201" s="16">
        <v>211</v>
      </c>
      <c r="C201" s="16">
        <v>0</v>
      </c>
      <c r="D201" s="16">
        <v>0</v>
      </c>
      <c r="E201" s="16">
        <v>276</v>
      </c>
      <c r="F201" s="16">
        <v>302</v>
      </c>
      <c r="G201" s="16">
        <v>0</v>
      </c>
      <c r="H201" s="16">
        <v>23</v>
      </c>
      <c r="I201" s="16">
        <v>551.5</v>
      </c>
      <c r="J201" s="16">
        <v>155.5</v>
      </c>
      <c r="K201" s="16"/>
      <c r="L201" s="16"/>
      <c r="M201" s="16"/>
      <c r="N201" s="8"/>
    </row>
    <row r="202" spans="1:14" ht="20">
      <c r="A202" s="15" t="s">
        <v>235</v>
      </c>
      <c r="B202" s="16">
        <v>0</v>
      </c>
      <c r="C202" s="16">
        <v>124</v>
      </c>
      <c r="D202" s="16">
        <v>207.7</v>
      </c>
      <c r="E202" s="16">
        <v>0</v>
      </c>
      <c r="F202" s="16">
        <v>0</v>
      </c>
      <c r="G202" s="16">
        <v>0</v>
      </c>
      <c r="H202" s="16"/>
      <c r="I202" s="16"/>
      <c r="J202" s="16"/>
      <c r="K202" s="16"/>
      <c r="L202" s="16"/>
      <c r="M202" s="16"/>
      <c r="N202" s="8"/>
    </row>
    <row r="203" spans="1:14" ht="20">
      <c r="A203" s="33" t="s">
        <v>236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8"/>
    </row>
    <row r="204" spans="1:14" ht="20">
      <c r="A204" s="17" t="s">
        <v>237</v>
      </c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8"/>
    </row>
    <row r="205" spans="1:14" ht="40">
      <c r="A205" s="15" t="s">
        <v>53</v>
      </c>
      <c r="B205" s="16">
        <v>0</v>
      </c>
      <c r="C205" s="16">
        <v>0</v>
      </c>
      <c r="D205" s="16">
        <v>600</v>
      </c>
      <c r="E205" s="16">
        <v>0</v>
      </c>
      <c r="F205" s="16">
        <v>0</v>
      </c>
      <c r="G205" s="16">
        <v>0</v>
      </c>
      <c r="H205" s="16"/>
      <c r="I205" s="16">
        <v>164.5</v>
      </c>
      <c r="J205" s="16">
        <v>414.02</v>
      </c>
      <c r="K205" s="16">
        <v>144.6</v>
      </c>
      <c r="L205" s="16">
        <v>193.2</v>
      </c>
      <c r="M205" s="16">
        <v>212.56</v>
      </c>
      <c r="N205" s="8"/>
    </row>
    <row r="206" spans="1:14" ht="20">
      <c r="A206" s="15" t="s">
        <v>54</v>
      </c>
      <c r="B206" s="16">
        <v>0</v>
      </c>
      <c r="C206" s="16">
        <v>0</v>
      </c>
      <c r="D206" s="16">
        <v>0</v>
      </c>
      <c r="E206" s="16">
        <v>0</v>
      </c>
      <c r="F206" s="16">
        <v>0</v>
      </c>
      <c r="G206" s="16">
        <v>0</v>
      </c>
      <c r="H206" s="16">
        <v>341.09</v>
      </c>
      <c r="I206" s="16"/>
      <c r="J206" s="16"/>
      <c r="K206" s="16"/>
      <c r="L206" s="16"/>
      <c r="M206" s="16"/>
      <c r="N206" s="8"/>
    </row>
    <row r="207" spans="1:14" ht="20">
      <c r="A207" s="15" t="s">
        <v>55</v>
      </c>
      <c r="B207" s="16">
        <v>93.03</v>
      </c>
      <c r="C207" s="16">
        <v>68.45</v>
      </c>
      <c r="D207" s="16">
        <v>59.4</v>
      </c>
      <c r="E207" s="16">
        <v>70.17</v>
      </c>
      <c r="F207" s="16">
        <v>104.32</v>
      </c>
      <c r="G207" s="16">
        <v>82.05</v>
      </c>
      <c r="H207" s="16"/>
      <c r="I207" s="16">
        <v>118.33</v>
      </c>
      <c r="J207" s="16">
        <v>126.6</v>
      </c>
      <c r="K207" s="16">
        <v>52.11</v>
      </c>
      <c r="L207" s="16">
        <v>74.459999999999994</v>
      </c>
      <c r="M207" s="16">
        <v>8.08</v>
      </c>
      <c r="N207" s="8"/>
    </row>
    <row r="208" spans="1:14" ht="20">
      <c r="A208" s="15" t="s">
        <v>56</v>
      </c>
      <c r="B208" s="16">
        <v>0</v>
      </c>
      <c r="C208" s="16">
        <v>0</v>
      </c>
      <c r="D208" s="16">
        <v>0</v>
      </c>
      <c r="E208" s="16">
        <v>0</v>
      </c>
      <c r="F208" s="16">
        <v>8.76</v>
      </c>
      <c r="G208" s="16">
        <v>0</v>
      </c>
      <c r="H208" s="16"/>
      <c r="I208" s="16"/>
      <c r="J208" s="16"/>
      <c r="K208" s="16"/>
      <c r="L208" s="16"/>
      <c r="M208" s="16"/>
      <c r="N208" s="8"/>
    </row>
    <row r="209" spans="1:14" ht="20">
      <c r="A209" s="15" t="s">
        <v>238</v>
      </c>
      <c r="B209" s="16"/>
      <c r="C209" s="16"/>
      <c r="D209" s="16"/>
      <c r="E209" s="16"/>
      <c r="F209" s="16"/>
      <c r="G209" s="16"/>
      <c r="H209" s="16">
        <v>604.83000000000004</v>
      </c>
      <c r="I209" s="16">
        <v>2589.67</v>
      </c>
      <c r="J209" s="16"/>
      <c r="K209" s="16">
        <v>616.83000000000004</v>
      </c>
      <c r="L209" s="16">
        <v>2072</v>
      </c>
      <c r="M209" s="16">
        <v>200</v>
      </c>
      <c r="N209" s="8"/>
    </row>
    <row r="210" spans="1:14" ht="20">
      <c r="A210" s="33" t="s">
        <v>239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8"/>
    </row>
    <row r="211" spans="1:14" ht="20">
      <c r="A211" s="17" t="s">
        <v>240</v>
      </c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8"/>
    </row>
    <row r="212" spans="1:14" ht="20">
      <c r="A212" s="15" t="s">
        <v>57</v>
      </c>
      <c r="B212" s="16">
        <v>216.82</v>
      </c>
      <c r="C212" s="16">
        <v>216.82</v>
      </c>
      <c r="D212" s="16">
        <v>216.82</v>
      </c>
      <c r="E212" s="16">
        <v>216.82</v>
      </c>
      <c r="F212" s="16">
        <v>216.82</v>
      </c>
      <c r="G212" s="16">
        <v>216.82</v>
      </c>
      <c r="H212" s="16">
        <v>216.82</v>
      </c>
      <c r="I212" s="16">
        <v>216.82</v>
      </c>
      <c r="J212" s="16">
        <v>221.64</v>
      </c>
      <c r="K212" s="16">
        <v>216.82</v>
      </c>
      <c r="L212" s="16">
        <v>224.63</v>
      </c>
      <c r="M212" s="16">
        <v>766.2</v>
      </c>
      <c r="N212" s="8"/>
    </row>
    <row r="213" spans="1:14" ht="20">
      <c r="A213" s="15" t="s">
        <v>58</v>
      </c>
      <c r="B213" s="16">
        <v>199.99</v>
      </c>
      <c r="C213" s="16">
        <v>199.99</v>
      </c>
      <c r="D213" s="16">
        <v>199.99</v>
      </c>
      <c r="E213" s="16">
        <v>199.99</v>
      </c>
      <c r="F213" s="16">
        <v>211.4</v>
      </c>
      <c r="G213" s="16">
        <v>214.99</v>
      </c>
      <c r="H213" s="16">
        <v>214.65</v>
      </c>
      <c r="I213" s="16">
        <v>214.99</v>
      </c>
      <c r="J213" s="16">
        <v>220.13</v>
      </c>
      <c r="K213" s="16">
        <v>194.99</v>
      </c>
      <c r="L213" s="16">
        <v>214.99</v>
      </c>
      <c r="M213" s="16">
        <v>214.99</v>
      </c>
      <c r="N213" s="8"/>
    </row>
    <row r="214" spans="1:14" ht="20">
      <c r="A214" s="15" t="s">
        <v>59</v>
      </c>
      <c r="B214" s="16">
        <v>39.99</v>
      </c>
      <c r="C214" s="16">
        <v>39.99</v>
      </c>
      <c r="D214" s="16">
        <v>39.99</v>
      </c>
      <c r="E214" s="16">
        <v>39.99</v>
      </c>
      <c r="F214" s="16">
        <v>39.99</v>
      </c>
      <c r="G214" s="16">
        <v>39.99</v>
      </c>
      <c r="H214" s="16">
        <v>40.97</v>
      </c>
      <c r="I214" s="16">
        <v>39.99</v>
      </c>
      <c r="J214" s="16">
        <v>39.99</v>
      </c>
      <c r="K214" s="16">
        <v>39.99</v>
      </c>
      <c r="L214" s="16">
        <v>41.17</v>
      </c>
      <c r="M214" s="16">
        <v>31.94</v>
      </c>
      <c r="N214" s="8"/>
    </row>
    <row r="215" spans="1:14" ht="20">
      <c r="A215" s="39" t="s">
        <v>241</v>
      </c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8"/>
    </row>
    <row r="216" spans="1:14" ht="21" customHeight="1">
      <c r="A216" s="17" t="s">
        <v>242</v>
      </c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8"/>
    </row>
    <row r="217" spans="1:14" ht="21" customHeight="1">
      <c r="A217" s="15" t="s">
        <v>243</v>
      </c>
      <c r="B217" s="16">
        <v>76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/>
      <c r="I217" s="16"/>
      <c r="J217" s="16"/>
      <c r="K217" s="16"/>
      <c r="L217" s="16"/>
      <c r="M217" s="16">
        <v>1439.88</v>
      </c>
      <c r="N217" s="8"/>
    </row>
    <row r="218" spans="1:14" ht="21" customHeight="1">
      <c r="A218" s="15" t="s">
        <v>244</v>
      </c>
      <c r="B218" s="16">
        <v>0</v>
      </c>
      <c r="C218" s="16">
        <v>0</v>
      </c>
      <c r="D218" s="16">
        <v>0</v>
      </c>
      <c r="E218" s="16">
        <v>3240</v>
      </c>
      <c r="F218" s="16">
        <v>0</v>
      </c>
      <c r="G218" s="16">
        <v>0</v>
      </c>
      <c r="H218" s="16"/>
      <c r="I218" s="16"/>
      <c r="J218" s="16"/>
      <c r="K218" s="16"/>
      <c r="L218" s="16"/>
      <c r="M218" s="16"/>
      <c r="N218" s="8"/>
    </row>
    <row r="219" spans="1:14" ht="21" customHeight="1">
      <c r="A219" s="15" t="s">
        <v>245</v>
      </c>
      <c r="B219" s="16">
        <v>0</v>
      </c>
      <c r="C219" s="16">
        <v>0</v>
      </c>
      <c r="D219" s="16">
        <v>0</v>
      </c>
      <c r="E219" s="16">
        <v>816.75</v>
      </c>
      <c r="F219" s="16">
        <v>0</v>
      </c>
      <c r="G219" s="16">
        <v>0</v>
      </c>
      <c r="H219" s="16"/>
      <c r="I219" s="16"/>
      <c r="J219" s="16"/>
      <c r="K219" s="16"/>
      <c r="L219" s="16"/>
      <c r="M219" s="16"/>
      <c r="N219" s="8"/>
    </row>
    <row r="220" spans="1:14" ht="21" customHeight="1">
      <c r="A220" s="33" t="s">
        <v>246</v>
      </c>
      <c r="B220" s="16">
        <f>SUM(B217)</f>
        <v>76</v>
      </c>
      <c r="C220" s="16">
        <v>0</v>
      </c>
      <c r="D220" s="16">
        <v>0</v>
      </c>
      <c r="E220" s="16">
        <f>SUM(E217:E219)</f>
        <v>4056.75</v>
      </c>
      <c r="F220" s="16">
        <v>0</v>
      </c>
      <c r="G220" s="16">
        <v>0</v>
      </c>
      <c r="H220" s="16"/>
      <c r="I220" s="16"/>
      <c r="J220" s="16"/>
      <c r="K220" s="16"/>
      <c r="L220" s="16"/>
      <c r="M220" s="16"/>
      <c r="N220" s="8"/>
    </row>
    <row r="221" spans="1:14" ht="21" customHeight="1">
      <c r="A221" s="45" t="s">
        <v>247</v>
      </c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8"/>
    </row>
    <row r="222" spans="1:14" ht="21" customHeight="1">
      <c r="A222" s="17" t="s">
        <v>248</v>
      </c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8"/>
    </row>
    <row r="223" spans="1:14" ht="20">
      <c r="A223" s="15" t="s">
        <v>249</v>
      </c>
      <c r="B223" s="16">
        <v>275</v>
      </c>
      <c r="C223" s="16">
        <v>275</v>
      </c>
      <c r="D223" s="16">
        <v>275</v>
      </c>
      <c r="E223" s="16">
        <v>275</v>
      </c>
      <c r="F223" s="16">
        <v>275</v>
      </c>
      <c r="G223" s="16">
        <v>275</v>
      </c>
      <c r="H223" s="16">
        <v>275</v>
      </c>
      <c r="I223" s="16">
        <v>275</v>
      </c>
      <c r="J223" s="16">
        <v>275</v>
      </c>
      <c r="K223" s="16">
        <v>275</v>
      </c>
      <c r="L223" s="16">
        <v>275</v>
      </c>
      <c r="M223" s="16">
        <v>275</v>
      </c>
      <c r="N223" s="31"/>
    </row>
    <row r="224" spans="1:14" ht="21" customHeight="1">
      <c r="A224" s="15" t="s">
        <v>250</v>
      </c>
      <c r="B224" s="16">
        <v>139</v>
      </c>
      <c r="C224" s="16">
        <v>139</v>
      </c>
      <c r="D224" s="16">
        <v>139</v>
      </c>
      <c r="E224" s="16">
        <v>139</v>
      </c>
      <c r="F224" s="16">
        <v>139</v>
      </c>
      <c r="G224" s="16">
        <v>139</v>
      </c>
      <c r="H224" s="16">
        <v>139</v>
      </c>
      <c r="I224" s="16">
        <v>139</v>
      </c>
      <c r="J224" s="16">
        <v>139</v>
      </c>
      <c r="K224" s="16">
        <v>139</v>
      </c>
      <c r="L224" s="16">
        <v>139</v>
      </c>
      <c r="M224" s="16">
        <v>139</v>
      </c>
      <c r="N224" s="31"/>
    </row>
    <row r="225" spans="1:14" ht="21" customHeight="1">
      <c r="A225" s="15" t="s">
        <v>251</v>
      </c>
      <c r="B225" s="16">
        <v>0</v>
      </c>
      <c r="C225" s="16">
        <v>478.8</v>
      </c>
      <c r="D225" s="16">
        <v>0</v>
      </c>
      <c r="E225" s="16">
        <v>0</v>
      </c>
      <c r="F225" s="16">
        <v>0</v>
      </c>
      <c r="G225" s="16">
        <v>0</v>
      </c>
      <c r="H225" s="16"/>
      <c r="I225" s="16"/>
      <c r="J225" s="16"/>
      <c r="K225" s="16"/>
      <c r="L225" s="16"/>
      <c r="M225" s="16"/>
      <c r="N225" s="31"/>
    </row>
    <row r="226" spans="1:14" ht="21" customHeight="1">
      <c r="A226" s="15" t="s">
        <v>252</v>
      </c>
      <c r="B226" s="16">
        <v>0</v>
      </c>
      <c r="C226" s="16">
        <v>1028.1600000000001</v>
      </c>
      <c r="D226" s="16">
        <v>0</v>
      </c>
      <c r="E226" s="16">
        <v>0</v>
      </c>
      <c r="F226" s="16">
        <v>0</v>
      </c>
      <c r="G226" s="16">
        <v>0</v>
      </c>
      <c r="H226" s="16"/>
      <c r="I226" s="16"/>
      <c r="J226" s="16"/>
      <c r="K226" s="16"/>
      <c r="L226" s="16"/>
      <c r="M226" s="16"/>
      <c r="N226" s="31"/>
    </row>
    <row r="227" spans="1:14" ht="21" customHeight="1">
      <c r="A227" s="15" t="s">
        <v>253</v>
      </c>
      <c r="B227" s="16">
        <v>0</v>
      </c>
      <c r="C227" s="16">
        <v>119.9</v>
      </c>
      <c r="D227" s="16">
        <v>0</v>
      </c>
      <c r="E227" s="16">
        <v>0</v>
      </c>
      <c r="F227" s="16">
        <v>0</v>
      </c>
      <c r="G227" s="16">
        <v>0</v>
      </c>
      <c r="H227" s="16"/>
      <c r="I227" s="16"/>
      <c r="J227" s="16"/>
      <c r="K227" s="16"/>
      <c r="L227" s="16"/>
      <c r="M227" s="16"/>
      <c r="N227" s="31"/>
    </row>
    <row r="228" spans="1:14" ht="20">
      <c r="A228" s="15" t="s">
        <v>254</v>
      </c>
      <c r="B228" s="16">
        <v>0</v>
      </c>
      <c r="C228" s="16">
        <v>449</v>
      </c>
      <c r="D228" s="16">
        <v>449</v>
      </c>
      <c r="E228" s="16">
        <v>0</v>
      </c>
      <c r="F228" s="16">
        <v>0</v>
      </c>
      <c r="G228" s="16">
        <v>0</v>
      </c>
      <c r="H228" s="16"/>
      <c r="I228" s="16"/>
      <c r="J228" s="16"/>
      <c r="K228" s="16"/>
      <c r="L228" s="16"/>
      <c r="M228" s="16"/>
      <c r="N228" s="31"/>
    </row>
    <row r="229" spans="1:14" ht="22" customHeight="1">
      <c r="A229" s="15" t="s">
        <v>255</v>
      </c>
      <c r="B229" s="16">
        <v>0</v>
      </c>
      <c r="C229" s="16">
        <v>0</v>
      </c>
      <c r="D229" s="16">
        <v>110</v>
      </c>
      <c r="E229" s="16">
        <v>0</v>
      </c>
      <c r="F229" s="16">
        <v>0</v>
      </c>
      <c r="G229" s="16">
        <v>330</v>
      </c>
      <c r="H229" s="16"/>
      <c r="I229" s="16">
        <v>110</v>
      </c>
      <c r="J229" s="16">
        <v>220</v>
      </c>
      <c r="K229" s="16"/>
      <c r="L229" s="16"/>
      <c r="M229" s="16"/>
      <c r="N229" s="31"/>
    </row>
    <row r="230" spans="1:14" ht="22" customHeight="1">
      <c r="A230" s="15" t="s">
        <v>256</v>
      </c>
      <c r="B230" s="16">
        <v>0</v>
      </c>
      <c r="C230" s="16">
        <v>0</v>
      </c>
      <c r="D230" s="16">
        <v>0</v>
      </c>
      <c r="E230" s="16">
        <v>0</v>
      </c>
      <c r="F230" s="16">
        <v>0</v>
      </c>
      <c r="G230" s="16">
        <v>720</v>
      </c>
      <c r="H230" s="16"/>
      <c r="I230" s="16"/>
      <c r="J230" s="16"/>
      <c r="K230" s="16"/>
      <c r="L230" s="16"/>
      <c r="M230" s="16"/>
      <c r="N230" s="31"/>
    </row>
    <row r="231" spans="1:14" ht="22" customHeight="1">
      <c r="A231" s="15" t="s">
        <v>257</v>
      </c>
      <c r="B231" s="16">
        <v>0</v>
      </c>
      <c r="C231" s="16">
        <v>365.95</v>
      </c>
      <c r="D231" s="16">
        <v>0</v>
      </c>
      <c r="E231" s="16">
        <v>0</v>
      </c>
      <c r="F231" s="16">
        <v>0</v>
      </c>
      <c r="G231" s="16">
        <v>0</v>
      </c>
      <c r="H231" s="16"/>
      <c r="I231" s="16"/>
      <c r="J231" s="16"/>
      <c r="K231" s="16"/>
      <c r="L231" s="16"/>
      <c r="M231" s="16"/>
      <c r="N231" s="31"/>
    </row>
    <row r="232" spans="1:14" ht="22" customHeight="1">
      <c r="A232" s="15" t="s">
        <v>258</v>
      </c>
      <c r="B232" s="16">
        <v>0</v>
      </c>
      <c r="C232" s="16">
        <v>315</v>
      </c>
      <c r="D232" s="16">
        <v>0</v>
      </c>
      <c r="E232" s="16">
        <v>0</v>
      </c>
      <c r="F232" s="16">
        <v>0</v>
      </c>
      <c r="G232" s="16">
        <v>0</v>
      </c>
      <c r="H232" s="16"/>
      <c r="I232" s="16"/>
      <c r="J232" s="16"/>
      <c r="K232" s="16"/>
      <c r="L232" s="16"/>
      <c r="M232" s="16"/>
      <c r="N232" s="31"/>
    </row>
    <row r="233" spans="1:14" ht="21" customHeight="1">
      <c r="A233" s="9" t="s">
        <v>259</v>
      </c>
      <c r="B233" s="16">
        <v>848.25</v>
      </c>
      <c r="C233" s="16">
        <v>889.22</v>
      </c>
      <c r="D233" s="16">
        <v>889.22</v>
      </c>
      <c r="E233" s="16">
        <v>889.22</v>
      </c>
      <c r="F233" s="16">
        <v>889.22</v>
      </c>
      <c r="G233" s="16">
        <v>889.22</v>
      </c>
      <c r="H233" s="16">
        <v>889.22</v>
      </c>
      <c r="I233" s="16">
        <v>889.22</v>
      </c>
      <c r="J233" s="16">
        <v>889.22</v>
      </c>
      <c r="K233" s="16">
        <v>889.22</v>
      </c>
      <c r="L233" s="16">
        <v>889.22</v>
      </c>
      <c r="M233" s="16">
        <v>889.22</v>
      </c>
      <c r="N233" s="31"/>
    </row>
    <row r="234" spans="1:14" ht="21" customHeight="1">
      <c r="A234" s="36" t="s">
        <v>260</v>
      </c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>
        <v>12.5</v>
      </c>
      <c r="N234" s="31"/>
    </row>
    <row r="235" spans="1:14" ht="21" customHeight="1">
      <c r="A235" s="36" t="s">
        <v>261</v>
      </c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>
        <v>167.62</v>
      </c>
      <c r="N235" s="31"/>
    </row>
    <row r="236" spans="1:14" ht="21" customHeight="1">
      <c r="A236" s="36" t="s">
        <v>262</v>
      </c>
      <c r="B236" s="16"/>
      <c r="C236" s="16"/>
      <c r="D236" s="16"/>
      <c r="E236" s="16"/>
      <c r="F236" s="16"/>
      <c r="G236" s="16"/>
      <c r="H236" s="16"/>
      <c r="I236" s="16"/>
      <c r="J236" s="16"/>
      <c r="K236" s="16">
        <v>180</v>
      </c>
      <c r="L236" s="16"/>
      <c r="M236" s="16"/>
      <c r="N236" s="31"/>
    </row>
    <row r="237" spans="1:14" ht="21" customHeight="1">
      <c r="A237" s="36" t="s">
        <v>263</v>
      </c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>
        <v>1110.42</v>
      </c>
      <c r="N237" s="31"/>
    </row>
    <row r="238" spans="1:14" ht="21" customHeight="1">
      <c r="A238" s="39" t="s">
        <v>264</v>
      </c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</row>
    <row r="239" spans="1:14" ht="21" customHeight="1">
      <c r="A239" s="47" t="s">
        <v>265</v>
      </c>
      <c r="B239" s="16"/>
      <c r="C239" s="16"/>
      <c r="D239" s="16"/>
      <c r="E239" s="16"/>
      <c r="F239" s="16"/>
      <c r="G239" s="16"/>
      <c r="H239" s="16"/>
      <c r="I239" s="16"/>
      <c r="J239" s="16">
        <v>885.13</v>
      </c>
      <c r="K239" s="16">
        <v>885.13</v>
      </c>
      <c r="L239" s="16">
        <v>885.13</v>
      </c>
      <c r="M239" s="16">
        <v>885.14</v>
      </c>
      <c r="N239" s="31"/>
    </row>
    <row r="240" spans="1:14" ht="21" customHeight="1">
      <c r="A240" s="13" t="s">
        <v>266</v>
      </c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31"/>
    </row>
    <row r="241" spans="1:14" ht="21" customHeight="1">
      <c r="A241" s="9" t="s">
        <v>267</v>
      </c>
      <c r="B241" s="16">
        <v>0</v>
      </c>
      <c r="C241" s="16">
        <v>107.29</v>
      </c>
      <c r="D241" s="16">
        <v>0</v>
      </c>
      <c r="E241" s="16">
        <v>0</v>
      </c>
      <c r="F241" s="16">
        <v>0</v>
      </c>
      <c r="G241" s="16">
        <v>0</v>
      </c>
      <c r="H241" s="16"/>
      <c r="I241" s="16"/>
      <c r="J241" s="16"/>
      <c r="K241" s="16"/>
      <c r="L241" s="16"/>
      <c r="M241" s="16"/>
      <c r="N241" s="31"/>
    </row>
    <row r="242" spans="1:14" ht="21" customHeight="1">
      <c r="A242" s="9" t="s">
        <v>268</v>
      </c>
      <c r="B242" s="16">
        <v>137.12</v>
      </c>
      <c r="C242" s="16">
        <v>0</v>
      </c>
      <c r="D242" s="16">
        <v>0</v>
      </c>
      <c r="E242" s="16">
        <v>0</v>
      </c>
      <c r="F242" s="16">
        <v>0</v>
      </c>
      <c r="G242" s="16">
        <v>0</v>
      </c>
      <c r="H242" s="16"/>
      <c r="I242" s="16"/>
      <c r="J242" s="16"/>
      <c r="K242" s="16"/>
      <c r="L242" s="16"/>
      <c r="M242" s="16"/>
      <c r="N242" s="31"/>
    </row>
    <row r="243" spans="1:14" ht="21" customHeight="1">
      <c r="A243" s="9" t="s">
        <v>269</v>
      </c>
      <c r="B243" s="16">
        <v>50</v>
      </c>
      <c r="C243" s="16">
        <v>0</v>
      </c>
      <c r="D243" s="16">
        <v>0</v>
      </c>
      <c r="E243" s="16">
        <v>0</v>
      </c>
      <c r="F243" s="16">
        <v>0</v>
      </c>
      <c r="G243" s="16">
        <v>0</v>
      </c>
      <c r="H243" s="16"/>
      <c r="I243" s="16"/>
      <c r="J243" s="16"/>
      <c r="K243" s="16"/>
      <c r="L243" s="16"/>
      <c r="M243" s="16"/>
      <c r="N243" s="31"/>
    </row>
    <row r="244" spans="1:14" ht="21" customHeight="1">
      <c r="A244" s="39" t="s">
        <v>270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31"/>
    </row>
    <row r="245" spans="1:14" ht="21" customHeight="1">
      <c r="A245" s="13" t="s">
        <v>271</v>
      </c>
      <c r="B245" s="16">
        <v>378</v>
      </c>
      <c r="C245" s="16">
        <v>378</v>
      </c>
      <c r="D245" s="16">
        <v>378</v>
      </c>
      <c r="E245" s="16">
        <v>378</v>
      </c>
      <c r="F245" s="16">
        <v>378</v>
      </c>
      <c r="G245" s="16">
        <v>378</v>
      </c>
      <c r="H245" s="16">
        <v>378</v>
      </c>
      <c r="I245" s="16">
        <v>378</v>
      </c>
      <c r="J245" s="16">
        <v>378</v>
      </c>
      <c r="K245" s="16">
        <v>406.7</v>
      </c>
      <c r="L245" s="16">
        <v>378</v>
      </c>
      <c r="M245" s="16">
        <v>756</v>
      </c>
      <c r="N245" s="31"/>
    </row>
    <row r="246" spans="1:14" ht="21" customHeight="1">
      <c r="A246" s="13" t="s">
        <v>272</v>
      </c>
      <c r="B246" s="16">
        <v>500</v>
      </c>
      <c r="C246" s="16">
        <v>400</v>
      </c>
      <c r="D246" s="16">
        <v>400</v>
      </c>
      <c r="E246" s="16">
        <v>500</v>
      </c>
      <c r="F246" s="16">
        <v>400</v>
      </c>
      <c r="G246" s="16">
        <v>400</v>
      </c>
      <c r="H246" s="16">
        <v>500</v>
      </c>
      <c r="I246" s="16">
        <v>400</v>
      </c>
      <c r="J246" s="16">
        <v>500</v>
      </c>
      <c r="K246" s="16">
        <v>400</v>
      </c>
      <c r="L246" s="16">
        <v>500</v>
      </c>
      <c r="M246" s="16">
        <v>400</v>
      </c>
      <c r="N246" s="31"/>
    </row>
    <row r="247" spans="1:14" ht="21" customHeight="1">
      <c r="A247" s="13" t="s">
        <v>273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31"/>
    </row>
    <row r="248" spans="1:14" ht="21" customHeight="1">
      <c r="A248" s="9" t="s">
        <v>274</v>
      </c>
      <c r="B248" s="16">
        <v>0</v>
      </c>
      <c r="C248" s="16">
        <v>0</v>
      </c>
      <c r="D248" s="16">
        <v>0</v>
      </c>
      <c r="E248" s="16">
        <v>0</v>
      </c>
      <c r="F248" s="16">
        <v>203.7</v>
      </c>
      <c r="G248" s="16">
        <v>0</v>
      </c>
      <c r="H248" s="16"/>
      <c r="I248" s="16"/>
      <c r="J248" s="16"/>
      <c r="K248" s="16"/>
      <c r="L248" s="16"/>
      <c r="M248" s="16"/>
      <c r="N248" s="31"/>
    </row>
    <row r="249" spans="1:14" ht="21" customHeight="1">
      <c r="A249" s="9" t="s">
        <v>275</v>
      </c>
      <c r="B249" s="16">
        <v>0</v>
      </c>
      <c r="C249" s="16">
        <v>0</v>
      </c>
      <c r="D249" s="16">
        <v>0</v>
      </c>
      <c r="E249" s="16">
        <v>7000</v>
      </c>
      <c r="F249" s="16">
        <v>0</v>
      </c>
      <c r="G249" s="16">
        <v>0</v>
      </c>
      <c r="H249" s="16"/>
      <c r="I249" s="16"/>
      <c r="J249" s="16"/>
      <c r="K249" s="16"/>
      <c r="L249" s="16"/>
      <c r="M249" s="16"/>
      <c r="N249" s="31"/>
    </row>
    <row r="250" spans="1:14" ht="21" customHeight="1">
      <c r="A250" s="9" t="s">
        <v>276</v>
      </c>
      <c r="B250" s="16">
        <v>0</v>
      </c>
      <c r="C250" s="16">
        <v>0</v>
      </c>
      <c r="D250" s="16">
        <v>0</v>
      </c>
      <c r="E250" s="16">
        <v>0</v>
      </c>
      <c r="F250" s="16">
        <v>70.38</v>
      </c>
      <c r="G250" s="16">
        <v>39.4</v>
      </c>
      <c r="H250" s="16"/>
      <c r="I250" s="16"/>
      <c r="J250" s="16"/>
      <c r="K250" s="16"/>
      <c r="L250" s="16"/>
      <c r="M250" s="16"/>
      <c r="N250" s="31"/>
    </row>
    <row r="251" spans="1:14" ht="21" customHeight="1">
      <c r="A251" s="9" t="s">
        <v>277</v>
      </c>
      <c r="B251" s="16">
        <v>0</v>
      </c>
      <c r="C251" s="16">
        <v>0</v>
      </c>
      <c r="D251" s="16">
        <v>0</v>
      </c>
      <c r="E251" s="16">
        <v>0</v>
      </c>
      <c r="F251" s="16">
        <v>0</v>
      </c>
      <c r="G251" s="16">
        <v>760.92</v>
      </c>
      <c r="H251" s="16"/>
      <c r="I251" s="16"/>
      <c r="J251" s="16"/>
      <c r="K251" s="16"/>
      <c r="L251" s="16"/>
      <c r="M251" s="16"/>
      <c r="N251" s="31"/>
    </row>
    <row r="252" spans="1:14" ht="21" customHeight="1">
      <c r="A252" s="9" t="s">
        <v>278</v>
      </c>
      <c r="B252" s="16">
        <v>0</v>
      </c>
      <c r="C252" s="16">
        <v>0</v>
      </c>
      <c r="D252" s="16">
        <v>0</v>
      </c>
      <c r="E252" s="16">
        <v>0</v>
      </c>
      <c r="F252" s="16">
        <v>0</v>
      </c>
      <c r="G252" s="16">
        <v>828</v>
      </c>
      <c r="H252" s="16"/>
      <c r="I252" s="16"/>
      <c r="J252" s="16"/>
      <c r="K252" s="16"/>
      <c r="L252" s="16"/>
      <c r="M252" s="16"/>
      <c r="N252" s="31"/>
    </row>
    <row r="253" spans="1:14" ht="21" customHeight="1">
      <c r="A253" s="9" t="s">
        <v>279</v>
      </c>
      <c r="B253" s="16">
        <v>0</v>
      </c>
      <c r="C253" s="16">
        <v>0</v>
      </c>
      <c r="D253" s="16">
        <v>0</v>
      </c>
      <c r="E253" s="16">
        <v>0</v>
      </c>
      <c r="F253" s="16">
        <v>0</v>
      </c>
      <c r="G253" s="16">
        <v>1000</v>
      </c>
      <c r="H253" s="16"/>
      <c r="I253" s="16"/>
      <c r="J253" s="16"/>
      <c r="K253" s="16"/>
      <c r="L253" s="16"/>
      <c r="M253" s="16"/>
      <c r="N253" s="31"/>
    </row>
    <row r="254" spans="1:14" ht="21" customHeight="1">
      <c r="A254" s="9" t="s">
        <v>280</v>
      </c>
      <c r="B254" s="16">
        <v>0</v>
      </c>
      <c r="C254" s="16">
        <v>0</v>
      </c>
      <c r="D254" s="16">
        <v>0</v>
      </c>
      <c r="E254" s="16">
        <v>68</v>
      </c>
      <c r="F254" s="16">
        <v>0</v>
      </c>
      <c r="G254" s="16">
        <v>0</v>
      </c>
      <c r="H254" s="16"/>
      <c r="I254" s="16"/>
      <c r="J254" s="16"/>
      <c r="K254" s="16"/>
      <c r="L254" s="16"/>
      <c r="M254" s="16"/>
      <c r="N254" s="31"/>
    </row>
    <row r="255" spans="1:14" ht="21" customHeight="1">
      <c r="A255" s="9" t="s">
        <v>281</v>
      </c>
      <c r="B255" s="16">
        <v>0</v>
      </c>
      <c r="C255" s="16">
        <v>0</v>
      </c>
      <c r="D255" s="16">
        <v>2960</v>
      </c>
      <c r="E255" s="16">
        <v>0</v>
      </c>
      <c r="F255" s="16">
        <v>0</v>
      </c>
      <c r="G255" s="16">
        <v>0</v>
      </c>
      <c r="H255" s="16"/>
      <c r="I255" s="16"/>
      <c r="J255" s="16"/>
      <c r="K255" s="16"/>
      <c r="L255" s="16"/>
      <c r="M255" s="16"/>
      <c r="N255" s="31"/>
    </row>
    <row r="256" spans="1:14" ht="21" customHeight="1">
      <c r="A256" s="9" t="s">
        <v>282</v>
      </c>
      <c r="B256" s="16">
        <v>0</v>
      </c>
      <c r="C256" s="16">
        <v>4907.0600000000004</v>
      </c>
      <c r="D256" s="16">
        <v>0</v>
      </c>
      <c r="E256" s="16">
        <v>0</v>
      </c>
      <c r="F256" s="16">
        <v>0</v>
      </c>
      <c r="G256" s="16">
        <v>0</v>
      </c>
      <c r="H256" s="16"/>
      <c r="I256" s="16"/>
      <c r="J256" s="16"/>
      <c r="K256" s="16"/>
      <c r="L256" s="16"/>
      <c r="M256" s="16"/>
      <c r="N256" s="31"/>
    </row>
    <row r="257" spans="1:14" ht="21" customHeight="1">
      <c r="A257" s="9" t="s">
        <v>283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>
        <v>2059</v>
      </c>
      <c r="L257" s="16"/>
      <c r="M257" s="16"/>
      <c r="N257" s="31"/>
    </row>
    <row r="258" spans="1:14" ht="21" customHeight="1">
      <c r="A258" s="9" t="s">
        <v>284</v>
      </c>
      <c r="B258" s="16">
        <v>13000</v>
      </c>
      <c r="C258" s="16">
        <v>0</v>
      </c>
      <c r="D258" s="16">
        <v>0</v>
      </c>
      <c r="E258" s="16">
        <v>0</v>
      </c>
      <c r="F258" s="16">
        <v>0</v>
      </c>
      <c r="G258" s="16">
        <v>0</v>
      </c>
      <c r="H258" s="16"/>
      <c r="I258" s="16"/>
      <c r="J258" s="16"/>
      <c r="K258" s="16"/>
      <c r="L258" s="16"/>
      <c r="M258" s="16"/>
      <c r="N258" s="31"/>
    </row>
    <row r="259" spans="1:14" ht="21" customHeight="1">
      <c r="A259" s="9" t="s">
        <v>285</v>
      </c>
      <c r="B259" s="16">
        <v>0</v>
      </c>
      <c r="C259" s="16">
        <v>109.58</v>
      </c>
      <c r="D259" s="16">
        <v>0</v>
      </c>
      <c r="E259" s="16">
        <v>0</v>
      </c>
      <c r="F259" s="16">
        <v>0</v>
      </c>
      <c r="G259" s="16">
        <v>0</v>
      </c>
      <c r="H259" s="16"/>
      <c r="I259" s="16"/>
      <c r="J259" s="16"/>
      <c r="K259" s="16"/>
      <c r="L259" s="16"/>
      <c r="M259" s="16"/>
      <c r="N259" s="31"/>
    </row>
    <row r="260" spans="1:14" ht="21" customHeight="1">
      <c r="A260" s="9" t="s">
        <v>286</v>
      </c>
      <c r="B260" s="16">
        <v>0</v>
      </c>
      <c r="C260" s="16">
        <v>220</v>
      </c>
      <c r="D260" s="16">
        <v>0</v>
      </c>
      <c r="E260" s="16">
        <v>0</v>
      </c>
      <c r="F260" s="16">
        <v>0</v>
      </c>
      <c r="G260" s="16">
        <v>0</v>
      </c>
      <c r="H260" s="16"/>
      <c r="I260" s="16"/>
      <c r="J260" s="16"/>
      <c r="K260" s="16"/>
      <c r="L260" s="16"/>
      <c r="M260" s="16"/>
      <c r="N260" s="31"/>
    </row>
    <row r="261" spans="1:14" ht="21" customHeight="1">
      <c r="A261" s="9" t="s">
        <v>287</v>
      </c>
      <c r="B261" s="16">
        <v>0</v>
      </c>
      <c r="C261" s="16">
        <v>236.15</v>
      </c>
      <c r="D261" s="16">
        <v>0</v>
      </c>
      <c r="E261" s="16">
        <v>0</v>
      </c>
      <c r="F261" s="16">
        <v>0</v>
      </c>
      <c r="G261" s="16">
        <v>0</v>
      </c>
      <c r="H261" s="16"/>
      <c r="I261" s="16"/>
      <c r="J261" s="16"/>
      <c r="K261" s="16"/>
      <c r="L261" s="16"/>
      <c r="M261" s="16"/>
      <c r="N261" s="31"/>
    </row>
    <row r="262" spans="1:14" ht="21" customHeight="1">
      <c r="A262" s="9" t="s">
        <v>288</v>
      </c>
      <c r="B262" s="16">
        <v>24</v>
      </c>
      <c r="C262" s="16">
        <v>0</v>
      </c>
      <c r="D262" s="16">
        <v>0</v>
      </c>
      <c r="E262" s="16">
        <v>0</v>
      </c>
      <c r="F262" s="16">
        <v>0</v>
      </c>
      <c r="G262" s="16">
        <v>0</v>
      </c>
      <c r="H262" s="16"/>
      <c r="I262" s="16"/>
      <c r="J262" s="16"/>
      <c r="K262" s="16"/>
      <c r="L262" s="16"/>
      <c r="M262" s="16"/>
      <c r="N262" s="31"/>
    </row>
    <row r="263" spans="1:14" ht="21" customHeight="1">
      <c r="A263" s="9" t="s">
        <v>289</v>
      </c>
      <c r="B263" s="16">
        <v>331.6</v>
      </c>
      <c r="C263" s="16">
        <v>0</v>
      </c>
      <c r="D263" s="16">
        <v>185.8</v>
      </c>
      <c r="E263" s="16">
        <v>0</v>
      </c>
      <c r="F263" s="16">
        <v>0</v>
      </c>
      <c r="G263" s="16">
        <v>0</v>
      </c>
      <c r="H263" s="16"/>
      <c r="I263" s="16"/>
      <c r="J263" s="16"/>
      <c r="K263" s="16"/>
      <c r="L263" s="16"/>
      <c r="M263" s="16"/>
      <c r="N263" s="31"/>
    </row>
    <row r="264" spans="1:14" ht="21" customHeight="1">
      <c r="A264" s="39" t="s">
        <v>290</v>
      </c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31"/>
    </row>
    <row r="265" spans="1:14" ht="21" customHeight="1">
      <c r="A265" s="22" t="s">
        <v>291</v>
      </c>
      <c r="B265" s="8">
        <f t="shared" ref="B265:M265" si="3">SUM(B144:B264)</f>
        <v>20924.71</v>
      </c>
      <c r="C265" s="8">
        <f t="shared" si="3"/>
        <v>26802.12000000001</v>
      </c>
      <c r="D265" s="8">
        <f t="shared" si="3"/>
        <v>23441.560000000005</v>
      </c>
      <c r="E265" s="8">
        <f t="shared" si="3"/>
        <v>24750.45</v>
      </c>
      <c r="F265" s="8">
        <f t="shared" si="3"/>
        <v>16261.219999999998</v>
      </c>
      <c r="G265" s="8">
        <f t="shared" si="3"/>
        <v>14335.83</v>
      </c>
      <c r="H265" s="8">
        <f t="shared" si="3"/>
        <v>12937.039999999997</v>
      </c>
      <c r="I265" s="8">
        <f t="shared" si="3"/>
        <v>11813.819999999998</v>
      </c>
      <c r="J265" s="8">
        <f t="shared" si="3"/>
        <v>11381.109999999999</v>
      </c>
      <c r="K265" s="8">
        <f t="shared" si="3"/>
        <v>10055.939999999999</v>
      </c>
      <c r="L265" s="8">
        <f t="shared" si="3"/>
        <v>9636.1999999999989</v>
      </c>
      <c r="M265" s="8">
        <f t="shared" si="3"/>
        <v>12028.279999999999</v>
      </c>
      <c r="N265" s="8">
        <f>SUM(B265:M265)</f>
        <v>194368.28000000003</v>
      </c>
    </row>
    <row r="266" spans="1:14" ht="21" customHeight="1">
      <c r="A266" s="22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 spans="1:14" s="41" customFormat="1" ht="30">
      <c r="A267" s="40" t="s">
        <v>292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5"/>
    </row>
    <row r="268" spans="1:14" ht="20">
      <c r="A268" s="9" t="s">
        <v>293</v>
      </c>
      <c r="B268" s="16">
        <v>0</v>
      </c>
      <c r="C268" s="16">
        <v>1800</v>
      </c>
      <c r="D268" s="16">
        <v>1800</v>
      </c>
      <c r="E268" s="16">
        <v>1800</v>
      </c>
      <c r="F268" s="16">
        <v>1800</v>
      </c>
      <c r="G268" s="16">
        <v>1800</v>
      </c>
      <c r="H268" s="16">
        <v>1800</v>
      </c>
      <c r="I268" s="16">
        <v>1800</v>
      </c>
      <c r="J268" s="16">
        <v>1800</v>
      </c>
      <c r="K268" s="16">
        <v>532.69000000000005</v>
      </c>
      <c r="L268" s="16">
        <v>532.69000000000005</v>
      </c>
      <c r="M268" s="16">
        <v>532.69000000000005</v>
      </c>
      <c r="N268" s="8"/>
    </row>
    <row r="269" spans="1:14" ht="20">
      <c r="A269" s="9" t="s">
        <v>294</v>
      </c>
      <c r="B269" s="16">
        <v>0</v>
      </c>
      <c r="C269" s="16">
        <v>271.18</v>
      </c>
      <c r="D269" s="16">
        <v>146.97999999999999</v>
      </c>
      <c r="E269" s="16">
        <v>138.56</v>
      </c>
      <c r="F269" s="16">
        <v>237.09</v>
      </c>
      <c r="G269" s="16">
        <v>286.36</v>
      </c>
      <c r="H269" s="16">
        <v>138.56</v>
      </c>
      <c r="I269" s="16">
        <v>138.56</v>
      </c>
      <c r="J269" s="16">
        <v>138.56</v>
      </c>
      <c r="K269" s="16">
        <v>138.66</v>
      </c>
      <c r="L269" s="16">
        <v>138.66</v>
      </c>
      <c r="M269" s="16">
        <v>138.56</v>
      </c>
      <c r="N269" s="8"/>
    </row>
    <row r="270" spans="1:14" ht="20">
      <c r="A270" s="9" t="s">
        <v>295</v>
      </c>
      <c r="B270" s="16">
        <v>0</v>
      </c>
      <c r="C270" s="16">
        <v>83.63</v>
      </c>
      <c r="D270" s="16">
        <v>119.19</v>
      </c>
      <c r="E270" s="16">
        <v>130.83000000000001</v>
      </c>
      <c r="F270" s="16">
        <v>205.88</v>
      </c>
      <c r="G270" s="16">
        <v>165.14</v>
      </c>
      <c r="H270" s="16">
        <v>163.32</v>
      </c>
      <c r="I270" s="16">
        <v>171.7</v>
      </c>
      <c r="J270" s="16">
        <v>169.2</v>
      </c>
      <c r="K270" s="16">
        <v>215.82</v>
      </c>
      <c r="L270" s="16">
        <v>240.3</v>
      </c>
      <c r="M270" s="16">
        <v>215.99</v>
      </c>
      <c r="N270" s="8"/>
    </row>
    <row r="271" spans="1:14" ht="20">
      <c r="A271" s="9" t="s">
        <v>296</v>
      </c>
      <c r="B271" s="16">
        <v>0</v>
      </c>
      <c r="C271" s="16">
        <v>0</v>
      </c>
      <c r="D271" s="16">
        <v>0</v>
      </c>
      <c r="E271" s="16">
        <v>80</v>
      </c>
      <c r="F271" s="16">
        <v>80</v>
      </c>
      <c r="G271" s="16">
        <v>80</v>
      </c>
      <c r="H271" s="16">
        <v>80</v>
      </c>
      <c r="I271" s="16">
        <v>1150</v>
      </c>
      <c r="J271" s="16">
        <v>80</v>
      </c>
      <c r="K271" s="16">
        <v>80</v>
      </c>
      <c r="L271" s="16">
        <v>80</v>
      </c>
      <c r="M271" s="16">
        <v>80</v>
      </c>
      <c r="N271" s="8"/>
    </row>
    <row r="272" spans="1:14" ht="20">
      <c r="A272" s="9" t="s">
        <v>297</v>
      </c>
      <c r="B272" s="16">
        <v>0</v>
      </c>
      <c r="C272" s="16">
        <v>0</v>
      </c>
      <c r="D272" s="16">
        <v>0</v>
      </c>
      <c r="E272" s="16">
        <v>300</v>
      </c>
      <c r="F272" s="16">
        <v>300</v>
      </c>
      <c r="G272" s="16">
        <v>300</v>
      </c>
      <c r="H272" s="16">
        <v>300</v>
      </c>
      <c r="I272" s="16">
        <v>300</v>
      </c>
      <c r="J272" s="16">
        <v>300</v>
      </c>
      <c r="K272" s="16">
        <v>300</v>
      </c>
      <c r="L272" s="16">
        <v>300</v>
      </c>
      <c r="M272" s="16">
        <v>300</v>
      </c>
      <c r="N272" s="8"/>
    </row>
    <row r="273" spans="1:14" ht="20">
      <c r="A273" s="9" t="s">
        <v>298</v>
      </c>
      <c r="B273" s="16">
        <v>0</v>
      </c>
      <c r="C273" s="16">
        <v>0</v>
      </c>
      <c r="D273" s="16">
        <v>0</v>
      </c>
      <c r="E273" s="16">
        <v>168.49</v>
      </c>
      <c r="F273" s="16">
        <v>168.5</v>
      </c>
      <c r="G273" s="16">
        <v>168.5</v>
      </c>
      <c r="H273" s="16">
        <v>168.5</v>
      </c>
      <c r="I273" s="16"/>
      <c r="J273" s="16"/>
      <c r="K273" s="16"/>
      <c r="L273" s="16"/>
      <c r="M273" s="16"/>
      <c r="N273" s="8"/>
    </row>
    <row r="274" spans="1:14" ht="20">
      <c r="A274" s="9" t="s">
        <v>299</v>
      </c>
      <c r="B274" s="16">
        <v>0</v>
      </c>
      <c r="C274" s="16">
        <v>0</v>
      </c>
      <c r="D274" s="16">
        <v>747.22</v>
      </c>
      <c r="E274" s="16">
        <v>0</v>
      </c>
      <c r="F274" s="16">
        <v>0</v>
      </c>
      <c r="G274" s="16">
        <v>0</v>
      </c>
      <c r="H274" s="16"/>
      <c r="I274" s="16"/>
      <c r="J274" s="16"/>
      <c r="K274" s="16"/>
      <c r="L274" s="16"/>
      <c r="M274" s="16"/>
      <c r="N274" s="8"/>
    </row>
    <row r="275" spans="1:14" ht="20">
      <c r="A275" s="9" t="s">
        <v>300</v>
      </c>
      <c r="B275" s="16">
        <v>0</v>
      </c>
      <c r="C275" s="16">
        <v>0</v>
      </c>
      <c r="D275" s="16">
        <v>78</v>
      </c>
      <c r="E275" s="16">
        <v>0</v>
      </c>
      <c r="F275" s="16">
        <v>0</v>
      </c>
      <c r="G275" s="16">
        <v>0</v>
      </c>
      <c r="H275" s="16"/>
      <c r="I275" s="16"/>
      <c r="J275" s="16"/>
      <c r="K275" s="16"/>
      <c r="L275" s="16"/>
      <c r="M275" s="16"/>
      <c r="N275" s="8"/>
    </row>
    <row r="276" spans="1:14" ht="20">
      <c r="A276" s="39" t="s">
        <v>301</v>
      </c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8"/>
    </row>
    <row r="277" spans="1:14" ht="20">
      <c r="A277" s="9" t="s">
        <v>302</v>
      </c>
      <c r="B277" s="16">
        <v>0</v>
      </c>
      <c r="C277" s="16">
        <v>0</v>
      </c>
      <c r="D277" s="16">
        <v>0</v>
      </c>
      <c r="E277" s="16">
        <v>0</v>
      </c>
      <c r="F277" s="16">
        <v>110</v>
      </c>
      <c r="G277" s="16">
        <v>0</v>
      </c>
      <c r="H277" s="16"/>
      <c r="I277" s="16"/>
      <c r="J277" s="16"/>
      <c r="K277" s="16"/>
      <c r="L277" s="16"/>
      <c r="M277" s="16"/>
      <c r="N277" s="8"/>
    </row>
    <row r="278" spans="1:14" ht="20">
      <c r="A278" s="9" t="s">
        <v>303</v>
      </c>
      <c r="B278" s="16">
        <v>920</v>
      </c>
      <c r="C278" s="16">
        <v>0</v>
      </c>
      <c r="D278" s="16">
        <v>0</v>
      </c>
      <c r="E278" s="16">
        <v>0</v>
      </c>
      <c r="F278" s="16">
        <v>0</v>
      </c>
      <c r="G278" s="16">
        <v>0</v>
      </c>
      <c r="H278" s="16"/>
      <c r="I278" s="16"/>
      <c r="J278" s="16"/>
      <c r="K278" s="16"/>
      <c r="L278" s="16"/>
      <c r="M278" s="16"/>
      <c r="N278" s="8"/>
    </row>
    <row r="279" spans="1:14" ht="20">
      <c r="A279" s="9" t="s">
        <v>304</v>
      </c>
      <c r="B279" s="16">
        <v>2300</v>
      </c>
      <c r="C279" s="16">
        <v>0</v>
      </c>
      <c r="D279" s="16">
        <v>0</v>
      </c>
      <c r="E279" s="16">
        <v>0</v>
      </c>
      <c r="F279" s="16">
        <v>0</v>
      </c>
      <c r="G279" s="16">
        <v>0</v>
      </c>
      <c r="H279" s="16"/>
      <c r="I279" s="16"/>
      <c r="J279" s="16"/>
      <c r="K279" s="16"/>
      <c r="L279" s="16"/>
      <c r="M279" s="16"/>
      <c r="N279" s="8"/>
    </row>
    <row r="280" spans="1:14" ht="20">
      <c r="A280" s="9" t="s">
        <v>305</v>
      </c>
      <c r="B280" s="16">
        <v>2063.7199999999998</v>
      </c>
      <c r="C280" s="16">
        <v>0</v>
      </c>
      <c r="D280" s="16">
        <v>0</v>
      </c>
      <c r="E280" s="16">
        <v>0</v>
      </c>
      <c r="F280" s="16">
        <v>0</v>
      </c>
      <c r="G280" s="16">
        <v>0</v>
      </c>
      <c r="H280" s="16"/>
      <c r="I280" s="16"/>
      <c r="J280" s="16"/>
      <c r="K280" s="16"/>
      <c r="L280" s="16"/>
      <c r="M280" s="16"/>
      <c r="N280" s="8"/>
    </row>
    <row r="281" spans="1:14" ht="20">
      <c r="A281" s="9" t="s">
        <v>306</v>
      </c>
      <c r="B281" s="16">
        <v>140</v>
      </c>
      <c r="C281" s="16">
        <v>0</v>
      </c>
      <c r="D281" s="16">
        <v>0</v>
      </c>
      <c r="E281" s="16">
        <v>0</v>
      </c>
      <c r="F281" s="16">
        <v>0</v>
      </c>
      <c r="G281" s="16">
        <v>0</v>
      </c>
      <c r="H281" s="16"/>
      <c r="I281" s="16"/>
      <c r="J281" s="16"/>
      <c r="K281" s="16"/>
      <c r="L281" s="16"/>
      <c r="M281" s="16"/>
      <c r="N281" s="8"/>
    </row>
    <row r="282" spans="1:14" ht="20">
      <c r="A282" s="9" t="s">
        <v>307</v>
      </c>
      <c r="B282" s="16">
        <v>1770</v>
      </c>
      <c r="C282" s="16">
        <v>0</v>
      </c>
      <c r="D282" s="16">
        <v>0</v>
      </c>
      <c r="E282" s="16">
        <v>0</v>
      </c>
      <c r="F282" s="16">
        <v>0</v>
      </c>
      <c r="G282" s="16">
        <v>0</v>
      </c>
      <c r="H282" s="16"/>
      <c r="I282" s="16"/>
      <c r="J282" s="16"/>
      <c r="K282" s="16"/>
      <c r="L282" s="16"/>
      <c r="M282" s="16"/>
      <c r="N282" s="8"/>
    </row>
    <row r="283" spans="1:14" ht="20">
      <c r="A283" s="9" t="s">
        <v>308</v>
      </c>
      <c r="B283" s="16">
        <v>8700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/>
      <c r="I283" s="16"/>
      <c r="J283" s="16"/>
      <c r="K283" s="16"/>
      <c r="L283" s="16"/>
      <c r="M283" s="16"/>
      <c r="N283" s="8"/>
    </row>
    <row r="284" spans="1:14" ht="20">
      <c r="A284" s="9" t="s">
        <v>304</v>
      </c>
      <c r="B284" s="16">
        <v>500</v>
      </c>
      <c r="C284" s="16">
        <v>0</v>
      </c>
      <c r="D284" s="16">
        <v>0</v>
      </c>
      <c r="E284" s="16">
        <v>0</v>
      </c>
      <c r="F284" s="16">
        <v>0</v>
      </c>
      <c r="G284" s="16">
        <v>0</v>
      </c>
      <c r="H284" s="16"/>
      <c r="I284" s="16"/>
      <c r="J284" s="16"/>
      <c r="K284" s="16"/>
      <c r="L284" s="16"/>
      <c r="M284" s="16"/>
      <c r="N284" s="8"/>
    </row>
    <row r="285" spans="1:14" ht="20" customHeight="1">
      <c r="A285" s="9" t="s">
        <v>309</v>
      </c>
      <c r="B285" s="16">
        <v>140</v>
      </c>
      <c r="C285" s="16">
        <v>0</v>
      </c>
      <c r="D285" s="16">
        <v>0</v>
      </c>
      <c r="E285" s="16">
        <v>0</v>
      </c>
      <c r="F285" s="16">
        <v>0</v>
      </c>
      <c r="G285" s="16">
        <v>0</v>
      </c>
      <c r="H285" s="16"/>
      <c r="I285" s="16"/>
      <c r="J285" s="16"/>
      <c r="K285" s="16"/>
      <c r="L285" s="16"/>
      <c r="M285" s="16"/>
      <c r="N285" s="8"/>
    </row>
    <row r="286" spans="1:14" ht="20" customHeight="1">
      <c r="A286" s="9" t="s">
        <v>310</v>
      </c>
      <c r="B286" s="16">
        <v>0</v>
      </c>
      <c r="C286" s="16">
        <v>380</v>
      </c>
      <c r="D286" s="16">
        <v>0</v>
      </c>
      <c r="E286" s="16">
        <v>0</v>
      </c>
      <c r="F286" s="16">
        <v>0</v>
      </c>
      <c r="G286" s="16">
        <v>0</v>
      </c>
      <c r="H286" s="16"/>
      <c r="I286" s="16"/>
      <c r="J286" s="16"/>
      <c r="K286" s="16"/>
      <c r="L286" s="16"/>
      <c r="M286" s="16"/>
      <c r="N286" s="8"/>
    </row>
    <row r="287" spans="1:14" ht="20" customHeight="1">
      <c r="A287" s="9" t="s">
        <v>311</v>
      </c>
      <c r="B287" s="16">
        <v>0</v>
      </c>
      <c r="C287" s="16">
        <v>185</v>
      </c>
      <c r="D287" s="16">
        <v>0</v>
      </c>
      <c r="E287" s="16">
        <v>0</v>
      </c>
      <c r="F287" s="16">
        <v>0</v>
      </c>
      <c r="G287" s="16">
        <v>0</v>
      </c>
      <c r="H287" s="16"/>
      <c r="I287" s="16"/>
      <c r="J287" s="16"/>
      <c r="K287" s="16"/>
      <c r="L287" s="16"/>
      <c r="M287" s="16"/>
      <c r="N287" s="8"/>
    </row>
    <row r="288" spans="1:14" ht="20" customHeight="1">
      <c r="A288" s="9" t="s">
        <v>312</v>
      </c>
      <c r="B288" s="16">
        <v>0</v>
      </c>
      <c r="C288" s="16">
        <v>182.16</v>
      </c>
      <c r="D288" s="16">
        <v>0</v>
      </c>
      <c r="E288" s="16">
        <v>0</v>
      </c>
      <c r="F288" s="16">
        <v>0</v>
      </c>
      <c r="G288" s="16">
        <v>0</v>
      </c>
      <c r="H288" s="16"/>
      <c r="I288" s="16"/>
      <c r="J288" s="16"/>
      <c r="K288" s="16"/>
      <c r="L288" s="16"/>
      <c r="M288" s="16"/>
      <c r="N288" s="8"/>
    </row>
    <row r="289" spans="1:14" ht="20" customHeight="1">
      <c r="A289" s="9" t="s">
        <v>313</v>
      </c>
      <c r="B289" s="16">
        <v>0</v>
      </c>
      <c r="C289" s="16">
        <v>1500</v>
      </c>
      <c r="D289" s="16">
        <v>0</v>
      </c>
      <c r="E289" s="16">
        <v>0</v>
      </c>
      <c r="F289" s="16">
        <v>0</v>
      </c>
      <c r="G289" s="16">
        <v>0</v>
      </c>
      <c r="H289" s="16"/>
      <c r="I289" s="16"/>
      <c r="J289" s="16"/>
      <c r="K289" s="16"/>
      <c r="L289" s="16"/>
      <c r="M289" s="16"/>
      <c r="N289" s="8"/>
    </row>
    <row r="290" spans="1:14" ht="20" customHeight="1">
      <c r="A290" s="9" t="s">
        <v>314</v>
      </c>
      <c r="B290" s="16">
        <v>0</v>
      </c>
      <c r="C290" s="16">
        <v>550</v>
      </c>
      <c r="D290" s="16">
        <v>0</v>
      </c>
      <c r="E290" s="16">
        <v>0</v>
      </c>
      <c r="F290" s="16">
        <v>0</v>
      </c>
      <c r="G290" s="16">
        <v>0</v>
      </c>
      <c r="H290" s="16"/>
      <c r="I290" s="16"/>
      <c r="J290" s="16"/>
      <c r="K290" s="16"/>
      <c r="L290" s="16"/>
      <c r="M290" s="16"/>
      <c r="N290" s="8"/>
    </row>
    <row r="291" spans="1:14" ht="20" customHeight="1">
      <c r="A291" s="9" t="s">
        <v>315</v>
      </c>
      <c r="B291" s="16">
        <v>0</v>
      </c>
      <c r="C291" s="16">
        <v>266.51</v>
      </c>
      <c r="D291" s="16">
        <v>0</v>
      </c>
      <c r="E291" s="16">
        <v>0</v>
      </c>
      <c r="F291" s="16">
        <v>0</v>
      </c>
      <c r="G291" s="16">
        <v>0</v>
      </c>
      <c r="H291" s="16"/>
      <c r="I291" s="16"/>
      <c r="J291" s="16"/>
      <c r="K291" s="16"/>
      <c r="L291" s="16"/>
      <c r="M291" s="16"/>
      <c r="N291" s="8"/>
    </row>
    <row r="292" spans="1:14" ht="20" customHeight="1">
      <c r="A292" s="9" t="s">
        <v>316</v>
      </c>
      <c r="B292" s="16">
        <v>0</v>
      </c>
      <c r="C292" s="16">
        <v>179</v>
      </c>
      <c r="D292" s="16">
        <v>0</v>
      </c>
      <c r="E292" s="16">
        <v>0</v>
      </c>
      <c r="F292" s="16">
        <v>0</v>
      </c>
      <c r="G292" s="16">
        <v>0</v>
      </c>
      <c r="H292" s="16"/>
      <c r="I292" s="16"/>
      <c r="J292" s="16"/>
      <c r="K292" s="16"/>
      <c r="L292" s="16"/>
      <c r="M292" s="16"/>
      <c r="N292" s="8"/>
    </row>
    <row r="293" spans="1:14" ht="20" customHeight="1">
      <c r="A293" s="9" t="s">
        <v>317</v>
      </c>
      <c r="B293" s="16">
        <v>0</v>
      </c>
      <c r="C293" s="16">
        <v>361</v>
      </c>
      <c r="D293" s="16">
        <v>0</v>
      </c>
      <c r="E293" s="16">
        <v>0</v>
      </c>
      <c r="F293" s="16">
        <v>0</v>
      </c>
      <c r="G293" s="16">
        <v>0</v>
      </c>
      <c r="H293" s="16"/>
      <c r="I293" s="16"/>
      <c r="J293" s="16"/>
      <c r="K293" s="16"/>
      <c r="L293" s="16"/>
      <c r="M293" s="16"/>
      <c r="N293" s="8"/>
    </row>
    <row r="294" spans="1:14" ht="20" customHeight="1">
      <c r="A294" s="42" t="s">
        <v>318</v>
      </c>
      <c r="B294" s="16"/>
      <c r="C294" s="16"/>
      <c r="D294" s="16"/>
      <c r="E294" s="16"/>
      <c r="F294" s="16"/>
      <c r="G294" s="16"/>
      <c r="H294" s="16"/>
      <c r="I294" s="16"/>
      <c r="J294" s="16">
        <v>2157.6799999999998</v>
      </c>
      <c r="K294" s="16"/>
      <c r="L294" s="16"/>
      <c r="M294" s="16"/>
      <c r="N294" s="8"/>
    </row>
    <row r="295" spans="1:14" ht="20" customHeight="1">
      <c r="A295" s="42" t="s">
        <v>319</v>
      </c>
      <c r="B295" s="16"/>
      <c r="C295" s="16"/>
      <c r="D295" s="16"/>
      <c r="E295" s="16"/>
      <c r="F295" s="16"/>
      <c r="G295" s="16"/>
      <c r="H295" s="16"/>
      <c r="I295" s="16"/>
      <c r="J295" s="16">
        <v>6000</v>
      </c>
      <c r="K295" s="16"/>
      <c r="L295" s="16"/>
      <c r="M295" s="16"/>
      <c r="N295" s="8"/>
    </row>
    <row r="296" spans="1:14" ht="20" customHeight="1">
      <c r="A296" s="42" t="s">
        <v>320</v>
      </c>
      <c r="B296" s="16">
        <v>0</v>
      </c>
      <c r="C296" s="16">
        <v>250</v>
      </c>
      <c r="D296" s="16">
        <v>0</v>
      </c>
      <c r="E296" s="16">
        <v>0</v>
      </c>
      <c r="F296" s="16">
        <v>0</v>
      </c>
      <c r="G296" s="16">
        <v>0</v>
      </c>
      <c r="H296" s="16"/>
      <c r="I296" s="16"/>
      <c r="J296" s="16">
        <v>450</v>
      </c>
      <c r="K296" s="16"/>
      <c r="L296" s="16">
        <v>700</v>
      </c>
      <c r="M296" s="16"/>
      <c r="N296" s="8"/>
    </row>
    <row r="297" spans="1:14" ht="20" customHeight="1">
      <c r="A297" s="42" t="s">
        <v>321</v>
      </c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>
        <v>3240</v>
      </c>
      <c r="M297" s="16"/>
      <c r="N297" s="8"/>
    </row>
    <row r="298" spans="1:14" ht="20" customHeight="1">
      <c r="A298" s="42" t="s">
        <v>322</v>
      </c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>
        <v>1250</v>
      </c>
      <c r="M298" s="16"/>
      <c r="N298" s="8"/>
    </row>
    <row r="299" spans="1:14" ht="20" customHeight="1">
      <c r="A299" s="43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8"/>
    </row>
    <row r="300" spans="1:14" ht="20" customHeight="1">
      <c r="A300" s="44" t="s">
        <v>323</v>
      </c>
      <c r="B300" s="16">
        <f>SUM(B268:B299)</f>
        <v>16533.72</v>
      </c>
      <c r="C300" s="16">
        <f t="shared" ref="C300:M300" si="4">SUM(C268:C299)</f>
        <v>6008.48</v>
      </c>
      <c r="D300" s="16">
        <f t="shared" si="4"/>
        <v>2891.3900000000003</v>
      </c>
      <c r="E300" s="16">
        <f t="shared" si="4"/>
        <v>2617.88</v>
      </c>
      <c r="F300" s="16">
        <f>SUM(F268:F299)</f>
        <v>2901.47</v>
      </c>
      <c r="G300" s="16">
        <f t="shared" si="4"/>
        <v>2800</v>
      </c>
      <c r="H300" s="16">
        <f t="shared" si="4"/>
        <v>2650.38</v>
      </c>
      <c r="I300" s="16">
        <f t="shared" si="4"/>
        <v>3560.2599999999998</v>
      </c>
      <c r="J300" s="16">
        <f t="shared" si="4"/>
        <v>11095.439999999999</v>
      </c>
      <c r="K300" s="16">
        <f t="shared" si="4"/>
        <v>1267.17</v>
      </c>
      <c r="L300" s="16">
        <f t="shared" si="4"/>
        <v>6481.65</v>
      </c>
      <c r="M300" s="16">
        <f t="shared" si="4"/>
        <v>1267.24</v>
      </c>
      <c r="N300" s="54">
        <f>SUM(B300:M300)</f>
        <v>60075.08</v>
      </c>
    </row>
    <row r="301" spans="1:14" ht="20" customHeight="1">
      <c r="A301" s="44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8"/>
    </row>
    <row r="302" spans="1:14" ht="21" customHeight="1">
      <c r="A302" s="14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31"/>
    </row>
    <row r="303" spans="1:14" ht="20">
      <c r="A303" s="48" t="s">
        <v>324</v>
      </c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31"/>
    </row>
    <row r="304" spans="1:14" ht="20">
      <c r="A304" s="49" t="s">
        <v>325</v>
      </c>
      <c r="B304" s="16">
        <v>0</v>
      </c>
      <c r="C304" s="16">
        <v>0</v>
      </c>
      <c r="D304" s="16">
        <v>0</v>
      </c>
      <c r="E304" s="16">
        <v>0</v>
      </c>
      <c r="F304" s="16">
        <v>0</v>
      </c>
      <c r="G304" s="16">
        <v>0</v>
      </c>
      <c r="H304" s="16"/>
      <c r="I304" s="16">
        <v>149</v>
      </c>
      <c r="J304" s="16">
        <v>149</v>
      </c>
      <c r="K304" s="16"/>
      <c r="L304" s="16"/>
      <c r="M304" s="16"/>
      <c r="N304" s="31"/>
    </row>
    <row r="305" spans="1:14" ht="20">
      <c r="A305" s="9" t="s">
        <v>326</v>
      </c>
      <c r="B305" s="16">
        <v>2089.1999999999998</v>
      </c>
      <c r="C305" s="16">
        <v>2056.64</v>
      </c>
      <c r="D305" s="16">
        <v>2338.27</v>
      </c>
      <c r="E305" s="16">
        <v>2152.7199999999998</v>
      </c>
      <c r="F305" s="16">
        <v>2152.7199999999998</v>
      </c>
      <c r="G305" s="16">
        <v>2136.8200000000002</v>
      </c>
      <c r="H305" s="16">
        <v>2136.8200000000002</v>
      </c>
      <c r="I305" s="16">
        <v>2593.6</v>
      </c>
      <c r="J305" s="16">
        <v>2755.43</v>
      </c>
      <c r="K305" s="16">
        <v>2156.29</v>
      </c>
      <c r="L305" s="16">
        <v>2136.8200000000002</v>
      </c>
      <c r="M305" s="16">
        <v>4416.6899999999996</v>
      </c>
      <c r="N305" s="16"/>
    </row>
    <row r="306" spans="1:14" ht="20">
      <c r="A306" s="9" t="s">
        <v>327</v>
      </c>
      <c r="B306" s="16">
        <v>692.35</v>
      </c>
      <c r="C306" s="16">
        <v>461.57</v>
      </c>
      <c r="D306" s="16">
        <v>625</v>
      </c>
      <c r="E306" s="16">
        <v>480.07</v>
      </c>
      <c r="F306" s="16">
        <v>480</v>
      </c>
      <c r="G306" s="16">
        <v>480.07</v>
      </c>
      <c r="H306" s="16">
        <v>480.07</v>
      </c>
      <c r="I306" s="16">
        <v>480.07</v>
      </c>
      <c r="J306" s="16">
        <v>484.42</v>
      </c>
      <c r="K306" s="16">
        <v>3717.58</v>
      </c>
      <c r="L306" s="16">
        <v>639.07000000000005</v>
      </c>
      <c r="M306" s="16">
        <v>754.95</v>
      </c>
      <c r="N306" s="16"/>
    </row>
    <row r="307" spans="1:14" ht="20">
      <c r="A307" s="9" t="s">
        <v>328</v>
      </c>
      <c r="B307" s="16">
        <v>63.44</v>
      </c>
      <c r="C307" s="16">
        <v>77.930000000000007</v>
      </c>
      <c r="D307" s="16">
        <v>0</v>
      </c>
      <c r="E307" s="16">
        <v>50.21</v>
      </c>
      <c r="F307" s="16">
        <v>0</v>
      </c>
      <c r="G307" s="16">
        <v>0</v>
      </c>
      <c r="H307" s="16"/>
      <c r="I307" s="16"/>
      <c r="J307" s="16"/>
      <c r="K307" s="16"/>
      <c r="L307" s="16"/>
      <c r="M307" s="16"/>
      <c r="N307" s="31"/>
    </row>
    <row r="308" spans="1:14" ht="20">
      <c r="A308" s="9" t="s">
        <v>329</v>
      </c>
      <c r="B308" s="16">
        <v>0</v>
      </c>
      <c r="C308" s="16">
        <v>0</v>
      </c>
      <c r="D308" s="16">
        <v>0</v>
      </c>
      <c r="E308" s="16">
        <v>66.13</v>
      </c>
      <c r="F308" s="16">
        <v>0</v>
      </c>
      <c r="G308" s="16">
        <v>0</v>
      </c>
      <c r="H308" s="16"/>
      <c r="I308" s="16"/>
      <c r="J308" s="16"/>
      <c r="K308" s="16"/>
      <c r="L308" s="16"/>
      <c r="M308" s="16"/>
      <c r="N308" s="31"/>
    </row>
    <row r="309" spans="1:14" ht="20">
      <c r="A309" s="9" t="s">
        <v>330</v>
      </c>
      <c r="B309" s="16">
        <v>0</v>
      </c>
      <c r="C309" s="16">
        <v>0</v>
      </c>
      <c r="D309" s="16">
        <v>0</v>
      </c>
      <c r="E309" s="16">
        <v>5.7</v>
      </c>
      <c r="F309" s="16">
        <v>0</v>
      </c>
      <c r="G309" s="16">
        <v>0</v>
      </c>
      <c r="H309" s="16"/>
      <c r="I309" s="16"/>
      <c r="J309" s="16"/>
      <c r="K309" s="16"/>
      <c r="L309" s="16"/>
      <c r="M309" s="16"/>
      <c r="N309" s="31"/>
    </row>
    <row r="310" spans="1:14" ht="20">
      <c r="A310" s="9" t="s">
        <v>331</v>
      </c>
      <c r="B310" s="16">
        <v>0</v>
      </c>
      <c r="C310" s="16">
        <v>0</v>
      </c>
      <c r="D310" s="16">
        <v>0</v>
      </c>
      <c r="E310" s="16">
        <v>348.06</v>
      </c>
      <c r="F310" s="16">
        <v>0</v>
      </c>
      <c r="G310" s="16">
        <v>0</v>
      </c>
      <c r="H310" s="16"/>
      <c r="I310" s="16"/>
      <c r="J310" s="16"/>
      <c r="K310" s="16"/>
      <c r="L310" s="16"/>
      <c r="M310" s="16"/>
      <c r="N310" s="31"/>
    </row>
    <row r="311" spans="1:14" ht="20">
      <c r="A311" s="9" t="s">
        <v>332</v>
      </c>
      <c r="B311" s="16">
        <v>0</v>
      </c>
      <c r="C311" s="16">
        <v>0</v>
      </c>
      <c r="D311" s="16">
        <v>0</v>
      </c>
      <c r="E311" s="16">
        <v>46.4</v>
      </c>
      <c r="F311" s="16">
        <v>0</v>
      </c>
      <c r="G311" s="16">
        <v>0</v>
      </c>
      <c r="H311" s="16"/>
      <c r="I311" s="16"/>
      <c r="J311" s="16">
        <v>46.68</v>
      </c>
      <c r="K311" s="16"/>
      <c r="L311" s="16"/>
      <c r="M311" s="16"/>
      <c r="N311" s="31"/>
    </row>
    <row r="312" spans="1:14" ht="20">
      <c r="A312" s="9" t="s">
        <v>333</v>
      </c>
      <c r="B312" s="16">
        <v>0</v>
      </c>
      <c r="C312" s="16">
        <v>0</v>
      </c>
      <c r="D312" s="16">
        <v>0</v>
      </c>
      <c r="E312" s="16">
        <v>695.66</v>
      </c>
      <c r="F312" s="16">
        <v>0</v>
      </c>
      <c r="G312" s="16">
        <v>0</v>
      </c>
      <c r="H312" s="16"/>
      <c r="I312" s="16"/>
      <c r="J312" s="16"/>
      <c r="K312" s="16"/>
      <c r="L312" s="16"/>
      <c r="M312" s="16"/>
      <c r="N312" s="31"/>
    </row>
    <row r="313" spans="1:14" ht="20">
      <c r="A313" s="9" t="s">
        <v>334</v>
      </c>
      <c r="B313" s="16">
        <v>581.79</v>
      </c>
      <c r="C313" s="16">
        <v>317.62</v>
      </c>
      <c r="D313" s="16">
        <v>732.8</v>
      </c>
      <c r="E313" s="16">
        <v>759.81</v>
      </c>
      <c r="F313" s="16">
        <v>682.43</v>
      </c>
      <c r="G313" s="16">
        <v>338.63</v>
      </c>
      <c r="H313" s="16">
        <v>286.58999999999997</v>
      </c>
      <c r="I313" s="16">
        <v>494.46</v>
      </c>
      <c r="J313" s="16">
        <v>630.53</v>
      </c>
      <c r="K313" s="16">
        <v>626.33000000000004</v>
      </c>
      <c r="L313" s="16">
        <v>295.85000000000002</v>
      </c>
      <c r="M313" s="16">
        <v>297.5</v>
      </c>
      <c r="N313" s="31"/>
    </row>
    <row r="314" spans="1:14" ht="19">
      <c r="A314" s="18" t="s">
        <v>335</v>
      </c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>
        <v>2846.51</v>
      </c>
      <c r="N314" s="16"/>
    </row>
    <row r="315" spans="1:14" ht="20">
      <c r="A315" s="9" t="s">
        <v>336</v>
      </c>
      <c r="B315" s="16"/>
      <c r="C315" s="16"/>
      <c r="D315" s="16"/>
      <c r="E315" s="16"/>
      <c r="F315" s="16">
        <v>19.899999999999999</v>
      </c>
      <c r="G315" s="16">
        <v>21.89</v>
      </c>
      <c r="H315" s="16">
        <v>39.799999999999997</v>
      </c>
      <c r="I315" s="16">
        <v>67.66</v>
      </c>
      <c r="J315" s="16">
        <v>313.32</v>
      </c>
      <c r="K315" s="16">
        <v>43.11</v>
      </c>
      <c r="L315" s="16">
        <v>391.21</v>
      </c>
      <c r="M315" s="16">
        <v>125.63</v>
      </c>
      <c r="N315" s="31"/>
    </row>
    <row r="316" spans="1:14" ht="20">
      <c r="A316" s="9" t="s">
        <v>337</v>
      </c>
      <c r="B316" s="16">
        <v>0</v>
      </c>
      <c r="C316" s="16">
        <v>0</v>
      </c>
      <c r="D316" s="16">
        <v>0.06</v>
      </c>
      <c r="E316" s="16">
        <v>0.11</v>
      </c>
      <c r="F316" s="16">
        <v>24.4</v>
      </c>
      <c r="G316" s="16">
        <v>33.86</v>
      </c>
      <c r="H316" s="16">
        <v>21.8</v>
      </c>
      <c r="I316" s="16">
        <v>25.22</v>
      </c>
      <c r="J316" s="16">
        <v>29.53</v>
      </c>
      <c r="K316" s="16">
        <v>41.49</v>
      </c>
      <c r="L316" s="16">
        <v>29.25</v>
      </c>
      <c r="M316" s="16">
        <v>33.81</v>
      </c>
      <c r="N316" s="31"/>
    </row>
    <row r="317" spans="1:14" ht="20">
      <c r="A317" s="22" t="s">
        <v>338</v>
      </c>
      <c r="B317" s="8">
        <f>SUM(B304:B316)</f>
        <v>3426.7799999999997</v>
      </c>
      <c r="C317" s="8">
        <f t="shared" ref="C317:M317" si="5">SUM(C304:C316)</f>
        <v>2913.7599999999998</v>
      </c>
      <c r="D317" s="8">
        <f t="shared" si="5"/>
        <v>3696.1299999999997</v>
      </c>
      <c r="E317" s="8">
        <f t="shared" si="5"/>
        <v>4604.87</v>
      </c>
      <c r="F317" s="8">
        <f>SUM(F304:F316)</f>
        <v>3359.45</v>
      </c>
      <c r="G317" s="8">
        <f t="shared" si="5"/>
        <v>3011.2700000000004</v>
      </c>
      <c r="H317" s="8">
        <f t="shared" si="5"/>
        <v>2965.0800000000008</v>
      </c>
      <c r="I317" s="8">
        <f t="shared" si="5"/>
        <v>3810.0099999999998</v>
      </c>
      <c r="J317" s="8">
        <f t="shared" si="5"/>
        <v>4408.9099999999989</v>
      </c>
      <c r="K317" s="8">
        <f t="shared" si="5"/>
        <v>6584.7999999999993</v>
      </c>
      <c r="L317" s="8">
        <f t="shared" si="5"/>
        <v>3492.2000000000003</v>
      </c>
      <c r="M317" s="8">
        <f t="shared" si="5"/>
        <v>8475.0899999999983</v>
      </c>
      <c r="N317" s="54">
        <f>SUM(B317:M317)</f>
        <v>50748.349999999991</v>
      </c>
    </row>
    <row r="318" spans="1:14" ht="19">
      <c r="A318" s="13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31"/>
    </row>
    <row r="319" spans="1:14" ht="42">
      <c r="A319" s="50" t="s">
        <v>339</v>
      </c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31"/>
    </row>
    <row r="320" spans="1:14" ht="20">
      <c r="A320" s="13" t="s">
        <v>340</v>
      </c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31"/>
    </row>
    <row r="321" spans="1:14" ht="20">
      <c r="A321" s="13" t="s">
        <v>341</v>
      </c>
      <c r="B321" s="16"/>
      <c r="C321" s="16"/>
      <c r="D321" s="16"/>
      <c r="E321" s="16"/>
      <c r="F321" s="16"/>
      <c r="G321" s="16"/>
      <c r="H321" s="16"/>
      <c r="I321" s="16"/>
      <c r="J321" s="16"/>
      <c r="K321" s="16">
        <v>944</v>
      </c>
      <c r="L321" s="16"/>
      <c r="M321" s="16"/>
      <c r="N321" s="31"/>
    </row>
    <row r="322" spans="1:14" ht="20">
      <c r="A322" s="9" t="s">
        <v>342</v>
      </c>
      <c r="B322" s="16"/>
      <c r="C322" s="16"/>
      <c r="D322" s="16"/>
      <c r="E322" s="16"/>
      <c r="F322" s="16"/>
      <c r="G322" s="16"/>
      <c r="H322" s="16"/>
      <c r="I322" s="16"/>
      <c r="J322" s="16">
        <v>1229.97</v>
      </c>
      <c r="K322" s="16">
        <v>1229.97</v>
      </c>
      <c r="L322" s="16">
        <v>1229.97</v>
      </c>
      <c r="M322" s="16">
        <v>1229.97</v>
      </c>
      <c r="N322" s="31"/>
    </row>
    <row r="323" spans="1:14" ht="20">
      <c r="A323" s="9" t="s">
        <v>343</v>
      </c>
      <c r="B323" s="16"/>
      <c r="C323" s="16"/>
      <c r="D323" s="16"/>
      <c r="E323" s="16"/>
      <c r="F323" s="16"/>
      <c r="G323" s="16"/>
      <c r="H323" s="16"/>
      <c r="I323" s="16"/>
      <c r="J323" s="16"/>
      <c r="K323" s="16">
        <v>4961.28</v>
      </c>
      <c r="L323" s="16"/>
      <c r="M323" s="16"/>
      <c r="N323" s="31"/>
    </row>
    <row r="324" spans="1:14" ht="20">
      <c r="A324" s="9" t="s">
        <v>344</v>
      </c>
      <c r="B324" s="16"/>
      <c r="C324" s="16"/>
      <c r="D324" s="16"/>
      <c r="E324" s="16"/>
      <c r="F324" s="16">
        <v>2548.63</v>
      </c>
      <c r="G324" s="16"/>
      <c r="H324" s="16"/>
      <c r="I324" s="16"/>
      <c r="J324" s="16"/>
      <c r="K324" s="16"/>
      <c r="L324" s="16"/>
      <c r="M324" s="16"/>
      <c r="N324" s="31"/>
    </row>
    <row r="325" spans="1:14" ht="20">
      <c r="A325" s="9" t="s">
        <v>345</v>
      </c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>
        <v>119.85</v>
      </c>
      <c r="M325" s="16">
        <v>119.85</v>
      </c>
      <c r="N325" s="31"/>
    </row>
    <row r="326" spans="1:14" ht="20">
      <c r="A326" s="9" t="s">
        <v>346</v>
      </c>
      <c r="B326" s="16"/>
      <c r="C326" s="16"/>
      <c r="D326" s="16"/>
      <c r="E326" s="16"/>
      <c r="F326" s="16"/>
      <c r="G326" s="16">
        <v>1600</v>
      </c>
      <c r="H326" s="16"/>
      <c r="I326" s="16"/>
      <c r="J326" s="16"/>
      <c r="K326" s="16"/>
      <c r="L326" s="16"/>
      <c r="M326" s="16"/>
      <c r="N326" s="31"/>
    </row>
    <row r="327" spans="1:14" ht="20">
      <c r="A327" s="13" t="s">
        <v>347</v>
      </c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31"/>
    </row>
    <row r="328" spans="1:14" ht="20">
      <c r="A328" s="13" t="s">
        <v>151</v>
      </c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31"/>
    </row>
    <row r="329" spans="1:14" ht="20">
      <c r="A329" s="13" t="s">
        <v>348</v>
      </c>
      <c r="B329" s="16"/>
      <c r="C329" s="16"/>
      <c r="D329" s="16"/>
      <c r="E329" s="16"/>
      <c r="F329" s="16"/>
      <c r="G329" s="16"/>
      <c r="H329" s="16">
        <v>900</v>
      </c>
      <c r="I329" s="16">
        <v>2431.61</v>
      </c>
      <c r="J329" s="16">
        <v>18472.75</v>
      </c>
      <c r="K329" s="16">
        <v>1155</v>
      </c>
      <c r="L329" s="16">
        <v>6863.74</v>
      </c>
      <c r="M329" s="16">
        <v>560</v>
      </c>
      <c r="N329" s="31"/>
    </row>
    <row r="330" spans="1:14" ht="20">
      <c r="A330" s="9" t="s">
        <v>349</v>
      </c>
      <c r="B330" s="16">
        <v>180</v>
      </c>
      <c r="C330" s="16">
        <v>180</v>
      </c>
      <c r="D330" s="16">
        <v>180</v>
      </c>
      <c r="E330" s="16">
        <v>180</v>
      </c>
      <c r="F330" s="16">
        <v>180</v>
      </c>
      <c r="G330" s="16">
        <v>180</v>
      </c>
      <c r="H330" s="16">
        <v>180</v>
      </c>
      <c r="I330" s="16">
        <v>180</v>
      </c>
      <c r="J330" s="16">
        <v>180</v>
      </c>
      <c r="K330" s="16">
        <v>180</v>
      </c>
      <c r="L330" s="16">
        <v>180</v>
      </c>
      <c r="M330" s="16">
        <v>180</v>
      </c>
      <c r="N330" s="31"/>
    </row>
    <row r="331" spans="1:14" ht="20">
      <c r="A331" s="9" t="s">
        <v>350</v>
      </c>
      <c r="B331" s="16">
        <v>0</v>
      </c>
      <c r="C331" s="16">
        <v>0</v>
      </c>
      <c r="D331" s="16">
        <v>0</v>
      </c>
      <c r="E331" s="16">
        <v>0</v>
      </c>
      <c r="F331" s="16">
        <v>0</v>
      </c>
      <c r="G331" s="16">
        <v>510</v>
      </c>
      <c r="H331" s="16"/>
      <c r="I331" s="16"/>
      <c r="J331" s="16"/>
      <c r="K331" s="16"/>
      <c r="L331" s="16"/>
      <c r="M331" s="16"/>
      <c r="N331" s="31"/>
    </row>
    <row r="332" spans="1:14" ht="20">
      <c r="A332" s="9" t="s">
        <v>351</v>
      </c>
      <c r="B332" s="16">
        <v>0</v>
      </c>
      <c r="C332" s="16">
        <v>0</v>
      </c>
      <c r="D332" s="16">
        <v>0</v>
      </c>
      <c r="E332" s="16">
        <v>0</v>
      </c>
      <c r="F332" s="16">
        <v>0</v>
      </c>
      <c r="G332" s="16">
        <v>67.7</v>
      </c>
      <c r="H332" s="16"/>
      <c r="I332" s="16"/>
      <c r="J332" s="16"/>
      <c r="K332" s="16"/>
      <c r="L332" s="16"/>
      <c r="M332" s="16"/>
      <c r="N332" s="31"/>
    </row>
    <row r="333" spans="1:14" ht="20">
      <c r="A333" s="9" t="s">
        <v>352</v>
      </c>
      <c r="B333" s="16">
        <v>0</v>
      </c>
      <c r="C333" s="16">
        <v>0</v>
      </c>
      <c r="D333" s="16">
        <v>0</v>
      </c>
      <c r="E333" s="16">
        <v>0</v>
      </c>
      <c r="F333" s="16">
        <v>0</v>
      </c>
      <c r="G333" s="16">
        <v>687.4</v>
      </c>
      <c r="H333" s="16"/>
      <c r="I333" s="16"/>
      <c r="J333" s="16"/>
      <c r="K333" s="16"/>
      <c r="L333" s="16"/>
      <c r="M333" s="16"/>
      <c r="N333" s="31"/>
    </row>
    <row r="334" spans="1:14" ht="20">
      <c r="A334" s="9" t="s">
        <v>353</v>
      </c>
      <c r="B334" s="16">
        <v>0</v>
      </c>
      <c r="C334" s="16">
        <v>0</v>
      </c>
      <c r="D334" s="16">
        <v>0</v>
      </c>
      <c r="E334" s="16">
        <v>3279.57</v>
      </c>
      <c r="F334" s="16">
        <v>0</v>
      </c>
      <c r="G334" s="16">
        <v>0</v>
      </c>
      <c r="H334" s="16"/>
      <c r="I334" s="16"/>
      <c r="J334" s="16"/>
      <c r="K334" s="16"/>
      <c r="L334" s="16"/>
      <c r="M334" s="16"/>
      <c r="N334" s="31"/>
    </row>
    <row r="335" spans="1:14" ht="20">
      <c r="A335" s="9" t="s">
        <v>354</v>
      </c>
      <c r="B335" s="16">
        <v>640</v>
      </c>
      <c r="C335" s="16">
        <v>640</v>
      </c>
      <c r="D335" s="16">
        <v>0</v>
      </c>
      <c r="E335" s="16">
        <v>0</v>
      </c>
      <c r="F335" s="16">
        <v>0</v>
      </c>
      <c r="G335" s="16">
        <v>0</v>
      </c>
      <c r="H335" s="16"/>
      <c r="I335" s="16"/>
      <c r="J335" s="16"/>
      <c r="K335" s="16"/>
      <c r="L335" s="16"/>
      <c r="M335" s="16"/>
      <c r="N335" s="31"/>
    </row>
    <row r="336" spans="1:14" ht="20">
      <c r="A336" s="9" t="s">
        <v>355</v>
      </c>
      <c r="B336" s="16">
        <v>0</v>
      </c>
      <c r="C336" s="16">
        <v>0</v>
      </c>
      <c r="D336" s="16">
        <v>380</v>
      </c>
      <c r="E336" s="16">
        <v>0</v>
      </c>
      <c r="F336" s="16">
        <v>0</v>
      </c>
      <c r="G336" s="16">
        <v>0</v>
      </c>
      <c r="H336" s="16"/>
      <c r="I336" s="16"/>
      <c r="J336" s="16"/>
      <c r="K336" s="16"/>
      <c r="L336" s="16"/>
      <c r="M336" s="16"/>
      <c r="N336" s="31"/>
    </row>
    <row r="337" spans="1:14" ht="20">
      <c r="A337" s="9" t="s">
        <v>356</v>
      </c>
      <c r="B337" s="16">
        <v>0</v>
      </c>
      <c r="C337" s="16">
        <v>0</v>
      </c>
      <c r="D337" s="16">
        <v>0</v>
      </c>
      <c r="E337" s="16">
        <v>130</v>
      </c>
      <c r="F337" s="16">
        <v>0</v>
      </c>
      <c r="G337" s="16">
        <v>0</v>
      </c>
      <c r="H337" s="16"/>
      <c r="I337" s="16"/>
      <c r="J337" s="16"/>
      <c r="K337" s="16"/>
      <c r="L337" s="16"/>
      <c r="M337" s="16"/>
      <c r="N337" s="31"/>
    </row>
    <row r="338" spans="1:14" ht="40">
      <c r="A338" s="9" t="s">
        <v>357</v>
      </c>
      <c r="B338" s="16">
        <v>0</v>
      </c>
      <c r="C338" s="16">
        <v>0</v>
      </c>
      <c r="D338" s="16">
        <v>0</v>
      </c>
      <c r="E338" s="16">
        <v>0</v>
      </c>
      <c r="F338" s="16">
        <v>164</v>
      </c>
      <c r="G338" s="16">
        <v>0</v>
      </c>
      <c r="H338" s="16"/>
      <c r="I338" s="16"/>
      <c r="J338" s="16"/>
      <c r="K338" s="16"/>
      <c r="L338" s="16"/>
      <c r="M338" s="16"/>
      <c r="N338" s="31"/>
    </row>
    <row r="339" spans="1:14" ht="40">
      <c r="A339" s="9" t="s">
        <v>358</v>
      </c>
      <c r="B339" s="16">
        <v>0</v>
      </c>
      <c r="C339" s="16">
        <v>0</v>
      </c>
      <c r="D339" s="16">
        <v>0</v>
      </c>
      <c r="E339" s="16">
        <v>0</v>
      </c>
      <c r="F339" s="16">
        <v>159.84</v>
      </c>
      <c r="G339" s="16">
        <v>0</v>
      </c>
      <c r="H339" s="16"/>
      <c r="I339" s="16"/>
      <c r="J339" s="16"/>
      <c r="K339" s="16"/>
      <c r="L339" s="16"/>
      <c r="M339" s="16"/>
      <c r="N339" s="31"/>
    </row>
    <row r="340" spans="1:14" ht="20">
      <c r="A340" s="9" t="s">
        <v>359</v>
      </c>
      <c r="B340" s="16">
        <v>0</v>
      </c>
      <c r="C340" s="16">
        <v>0</v>
      </c>
      <c r="D340" s="16">
        <v>0</v>
      </c>
      <c r="E340" s="16">
        <v>373.33</v>
      </c>
      <c r="F340" s="16">
        <v>373.33</v>
      </c>
      <c r="G340" s="16">
        <v>373.34</v>
      </c>
      <c r="H340" s="16"/>
      <c r="I340" s="16"/>
      <c r="J340" s="16"/>
      <c r="K340" s="16"/>
      <c r="L340" s="16"/>
      <c r="M340" s="16"/>
      <c r="N340" s="31"/>
    </row>
    <row r="341" spans="1:14" ht="20">
      <c r="A341" s="9" t="s">
        <v>360</v>
      </c>
      <c r="B341" s="16">
        <v>0</v>
      </c>
      <c r="C341" s="16">
        <v>0</v>
      </c>
      <c r="D341" s="16">
        <v>0</v>
      </c>
      <c r="E341" s="16">
        <v>819</v>
      </c>
      <c r="F341" s="16">
        <v>0</v>
      </c>
      <c r="G341" s="16">
        <v>0</v>
      </c>
      <c r="H341" s="16"/>
      <c r="I341" s="16"/>
      <c r="J341" s="16"/>
      <c r="K341" s="16"/>
      <c r="L341" s="16"/>
      <c r="M341" s="16"/>
      <c r="N341" s="31"/>
    </row>
    <row r="342" spans="1:14" ht="20">
      <c r="A342" s="9" t="s">
        <v>361</v>
      </c>
      <c r="B342" s="16">
        <v>0</v>
      </c>
      <c r="C342" s="16">
        <v>0</v>
      </c>
      <c r="D342" s="16">
        <v>0</v>
      </c>
      <c r="E342" s="16">
        <v>0</v>
      </c>
      <c r="F342" s="16">
        <v>0</v>
      </c>
      <c r="G342" s="16">
        <v>57.21</v>
      </c>
      <c r="H342" s="16"/>
      <c r="I342" s="16"/>
      <c r="J342" s="16"/>
      <c r="K342" s="16"/>
      <c r="L342" s="16"/>
      <c r="M342" s="16"/>
      <c r="N342" s="31"/>
    </row>
    <row r="343" spans="1:14" ht="20">
      <c r="A343" s="9" t="s">
        <v>362</v>
      </c>
      <c r="B343" s="16">
        <v>0</v>
      </c>
      <c r="C343" s="16">
        <v>0</v>
      </c>
      <c r="D343" s="16">
        <v>0</v>
      </c>
      <c r="E343" s="16">
        <v>193.07</v>
      </c>
      <c r="F343" s="16">
        <v>0</v>
      </c>
      <c r="G343" s="16">
        <v>0</v>
      </c>
      <c r="H343" s="16"/>
      <c r="I343" s="16"/>
      <c r="J343" s="16"/>
      <c r="K343" s="16"/>
      <c r="L343" s="16"/>
      <c r="M343" s="16"/>
      <c r="N343" s="31"/>
    </row>
    <row r="344" spans="1:14" ht="20">
      <c r="A344" s="9" t="s">
        <v>363</v>
      </c>
      <c r="B344" s="16">
        <v>0</v>
      </c>
      <c r="C344" s="16">
        <v>0</v>
      </c>
      <c r="D344" s="16">
        <v>0</v>
      </c>
      <c r="E344" s="16">
        <v>0</v>
      </c>
      <c r="F344" s="16">
        <v>56.5</v>
      </c>
      <c r="G344" s="16">
        <v>0</v>
      </c>
      <c r="H344" s="16"/>
      <c r="I344" s="16"/>
      <c r="J344" s="16"/>
      <c r="K344" s="16"/>
      <c r="L344" s="16"/>
      <c r="M344" s="16"/>
      <c r="N344" s="31"/>
    </row>
    <row r="345" spans="1:14" ht="20">
      <c r="A345" s="9" t="s">
        <v>364</v>
      </c>
      <c r="B345" s="16">
        <v>0</v>
      </c>
      <c r="C345" s="16">
        <v>0</v>
      </c>
      <c r="D345" s="16">
        <v>0</v>
      </c>
      <c r="E345" s="16">
        <v>0</v>
      </c>
      <c r="F345" s="16">
        <v>69.16</v>
      </c>
      <c r="G345" s="16">
        <v>0</v>
      </c>
      <c r="H345" s="16"/>
      <c r="I345" s="16"/>
      <c r="J345" s="16"/>
      <c r="K345" s="16"/>
      <c r="L345" s="16"/>
      <c r="M345" s="16"/>
      <c r="N345" s="31"/>
    </row>
    <row r="346" spans="1:14" ht="20">
      <c r="A346" s="9" t="s">
        <v>365</v>
      </c>
      <c r="B346" s="16">
        <v>0</v>
      </c>
      <c r="C346" s="16">
        <v>0</v>
      </c>
      <c r="D346" s="16">
        <v>0</v>
      </c>
      <c r="E346" s="16">
        <v>0</v>
      </c>
      <c r="F346" s="16">
        <v>229.5</v>
      </c>
      <c r="G346" s="16">
        <v>0</v>
      </c>
      <c r="H346" s="16"/>
      <c r="I346" s="16"/>
      <c r="J346" s="16"/>
      <c r="K346" s="16"/>
      <c r="L346" s="16"/>
      <c r="M346" s="16"/>
      <c r="N346" s="31"/>
    </row>
    <row r="347" spans="1:14" ht="20">
      <c r="A347" s="9" t="s">
        <v>366</v>
      </c>
      <c r="B347" s="16">
        <v>0</v>
      </c>
      <c r="C347" s="16">
        <v>0</v>
      </c>
      <c r="D347" s="16">
        <v>0</v>
      </c>
      <c r="E347" s="16">
        <v>0</v>
      </c>
      <c r="F347" s="16">
        <v>200</v>
      </c>
      <c r="G347" s="16">
        <v>0</v>
      </c>
      <c r="H347" s="16"/>
      <c r="I347" s="16"/>
      <c r="J347" s="16"/>
      <c r="K347" s="16"/>
      <c r="L347" s="16"/>
      <c r="M347" s="16"/>
      <c r="N347" s="31"/>
    </row>
    <row r="348" spans="1:14" ht="24" customHeight="1">
      <c r="A348" s="9" t="s">
        <v>367</v>
      </c>
      <c r="B348" s="16">
        <v>0</v>
      </c>
      <c r="C348" s="16">
        <v>0</v>
      </c>
      <c r="D348" s="16">
        <v>0</v>
      </c>
      <c r="E348" s="16">
        <v>0</v>
      </c>
      <c r="F348" s="16">
        <v>130</v>
      </c>
      <c r="G348" s="16">
        <v>0</v>
      </c>
      <c r="H348" s="16"/>
      <c r="I348" s="16"/>
      <c r="J348" s="16"/>
      <c r="K348" s="16"/>
      <c r="L348" s="16"/>
      <c r="M348" s="16"/>
      <c r="N348" s="31"/>
    </row>
    <row r="349" spans="1:14" ht="20">
      <c r="A349" s="9" t="s">
        <v>368</v>
      </c>
      <c r="B349" s="16">
        <v>0</v>
      </c>
      <c r="C349" s="16">
        <v>0</v>
      </c>
      <c r="D349" s="16">
        <v>0</v>
      </c>
      <c r="E349" s="16">
        <v>0</v>
      </c>
      <c r="F349" s="16">
        <v>680</v>
      </c>
      <c r="G349" s="16">
        <v>0</v>
      </c>
      <c r="H349" s="16"/>
      <c r="I349" s="16"/>
      <c r="J349" s="16"/>
      <c r="K349" s="16"/>
      <c r="L349" s="16"/>
      <c r="M349" s="16"/>
      <c r="N349" s="31"/>
    </row>
    <row r="350" spans="1:14" ht="40">
      <c r="A350" s="9" t="s">
        <v>369</v>
      </c>
      <c r="B350" s="16">
        <v>54</v>
      </c>
      <c r="C350" s="16">
        <v>0</v>
      </c>
      <c r="D350" s="16">
        <v>0</v>
      </c>
      <c r="E350" s="16">
        <v>0</v>
      </c>
      <c r="F350" s="16">
        <v>0</v>
      </c>
      <c r="G350" s="16">
        <v>0</v>
      </c>
      <c r="H350" s="16"/>
      <c r="I350" s="16"/>
      <c r="J350" s="16"/>
      <c r="K350" s="16"/>
      <c r="L350" s="16"/>
      <c r="M350" s="16"/>
      <c r="N350" s="31"/>
    </row>
    <row r="351" spans="1:14" ht="20">
      <c r="A351" s="9" t="s">
        <v>370</v>
      </c>
      <c r="B351" s="16">
        <v>350</v>
      </c>
      <c r="C351" s="16">
        <v>0</v>
      </c>
      <c r="D351" s="16">
        <v>0</v>
      </c>
      <c r="E351" s="16">
        <v>0</v>
      </c>
      <c r="F351" s="16">
        <v>0</v>
      </c>
      <c r="G351" s="16">
        <v>0</v>
      </c>
      <c r="H351" s="16"/>
      <c r="I351" s="16"/>
      <c r="J351" s="16"/>
      <c r="K351" s="16"/>
      <c r="L351" s="16"/>
      <c r="M351" s="16"/>
      <c r="N351" s="31"/>
    </row>
    <row r="352" spans="1:14" ht="20">
      <c r="A352" s="9" t="s">
        <v>371</v>
      </c>
      <c r="B352" s="16">
        <v>215</v>
      </c>
      <c r="C352" s="16">
        <v>240</v>
      </c>
      <c r="D352" s="16">
        <v>0</v>
      </c>
      <c r="E352" s="16">
        <v>0</v>
      </c>
      <c r="F352" s="16">
        <v>0</v>
      </c>
      <c r="G352" s="16">
        <v>0</v>
      </c>
      <c r="H352" s="16"/>
      <c r="I352" s="16"/>
      <c r="J352" s="16"/>
      <c r="K352" s="46">
        <v>260</v>
      </c>
      <c r="L352" s="16"/>
      <c r="M352" s="16"/>
      <c r="N352" s="31"/>
    </row>
    <row r="353" spans="1:15" ht="20">
      <c r="A353" s="9" t="s">
        <v>372</v>
      </c>
      <c r="B353" s="16">
        <v>600</v>
      </c>
      <c r="C353" s="16">
        <v>0</v>
      </c>
      <c r="D353" s="16">
        <v>0</v>
      </c>
      <c r="E353" s="16">
        <v>0</v>
      </c>
      <c r="F353" s="16">
        <v>0</v>
      </c>
      <c r="G353" s="16">
        <v>0</v>
      </c>
      <c r="H353" s="16"/>
      <c r="I353" s="16"/>
      <c r="J353" s="16"/>
      <c r="K353" s="16"/>
      <c r="L353" s="16"/>
      <c r="M353" s="16"/>
      <c r="N353" s="31"/>
    </row>
    <row r="354" spans="1:15" ht="20">
      <c r="A354" s="9" t="s">
        <v>373</v>
      </c>
      <c r="B354" s="16">
        <v>1890</v>
      </c>
      <c r="C354" s="16">
        <v>0</v>
      </c>
      <c r="D354" s="16">
        <v>0</v>
      </c>
      <c r="E354" s="16">
        <v>0</v>
      </c>
      <c r="F354" s="16">
        <v>0</v>
      </c>
      <c r="G354" s="16">
        <v>0</v>
      </c>
      <c r="H354" s="16"/>
      <c r="I354" s="16"/>
      <c r="J354" s="16"/>
      <c r="K354" s="16"/>
      <c r="L354" s="16"/>
      <c r="M354" s="16"/>
      <c r="N354" s="31"/>
    </row>
    <row r="355" spans="1:15" ht="20">
      <c r="A355" s="39" t="s">
        <v>186</v>
      </c>
      <c r="B355" s="8">
        <f>SUM(B320:B354)</f>
        <v>3929</v>
      </c>
      <c r="C355" s="8">
        <f t="shared" ref="C355:M355" si="6">SUM(C320:C354)</f>
        <v>1060</v>
      </c>
      <c r="D355" s="8">
        <f t="shared" si="6"/>
        <v>560</v>
      </c>
      <c r="E355" s="8">
        <f t="shared" si="6"/>
        <v>4974.9699999999993</v>
      </c>
      <c r="F355" s="8">
        <f>SUM(F320:F354)</f>
        <v>4790.96</v>
      </c>
      <c r="G355" s="8">
        <f t="shared" si="6"/>
        <v>3475.65</v>
      </c>
      <c r="H355" s="8">
        <f t="shared" si="6"/>
        <v>1080</v>
      </c>
      <c r="I355" s="8">
        <f t="shared" si="6"/>
        <v>2611.61</v>
      </c>
      <c r="J355" s="8">
        <f t="shared" si="6"/>
        <v>19882.72</v>
      </c>
      <c r="K355" s="8">
        <f t="shared" si="6"/>
        <v>8730.25</v>
      </c>
      <c r="L355" s="8">
        <f t="shared" si="6"/>
        <v>8393.56</v>
      </c>
      <c r="M355" s="8">
        <f t="shared" si="6"/>
        <v>2089.8199999999997</v>
      </c>
      <c r="N355" s="8">
        <f>SUM(B355:M355)</f>
        <v>61578.54</v>
      </c>
    </row>
    <row r="356" spans="1:15" ht="22" customHeight="1">
      <c r="A356" s="13" t="s">
        <v>374</v>
      </c>
      <c r="B356" s="16">
        <v>0</v>
      </c>
      <c r="C356" s="16">
        <v>0</v>
      </c>
      <c r="D356" s="16">
        <v>0</v>
      </c>
      <c r="E356" s="16">
        <v>0</v>
      </c>
      <c r="F356" s="16"/>
      <c r="G356" s="16"/>
      <c r="H356" s="16"/>
      <c r="I356" s="16"/>
      <c r="J356" s="16"/>
      <c r="K356" s="16"/>
      <c r="L356" s="16"/>
      <c r="M356" s="16"/>
      <c r="N356" s="31"/>
    </row>
    <row r="357" spans="1:15" ht="40">
      <c r="A357" s="13" t="s">
        <v>375</v>
      </c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31"/>
    </row>
    <row r="358" spans="1:15" ht="20">
      <c r="A358" s="9" t="s">
        <v>376</v>
      </c>
      <c r="B358" s="16">
        <v>0</v>
      </c>
      <c r="C358" s="16">
        <v>0</v>
      </c>
      <c r="D358" s="16">
        <v>0</v>
      </c>
      <c r="E358" s="16">
        <v>1000000</v>
      </c>
      <c r="F358" s="16">
        <v>0</v>
      </c>
      <c r="G358" s="16">
        <v>0</v>
      </c>
      <c r="H358" s="16"/>
      <c r="I358" s="16"/>
      <c r="J358" s="16"/>
      <c r="K358" s="16"/>
      <c r="L358" s="16"/>
      <c r="M358" s="16"/>
      <c r="N358" s="31"/>
    </row>
    <row r="359" spans="1:15" ht="20">
      <c r="A359" s="9" t="s">
        <v>377</v>
      </c>
      <c r="B359" s="16">
        <v>0</v>
      </c>
      <c r="C359" s="16">
        <v>0</v>
      </c>
      <c r="D359" s="16">
        <v>0</v>
      </c>
      <c r="E359" s="16">
        <v>75912.91</v>
      </c>
      <c r="F359" s="16">
        <v>75912.91</v>
      </c>
      <c r="G359" s="16">
        <v>75912.91</v>
      </c>
      <c r="H359" s="16">
        <v>75912.91</v>
      </c>
      <c r="I359" s="16">
        <v>75912.91</v>
      </c>
      <c r="J359" s="16">
        <v>75912.91</v>
      </c>
      <c r="K359" s="16">
        <v>315912.90999999997</v>
      </c>
      <c r="L359" s="16">
        <v>75912.91</v>
      </c>
      <c r="M359" s="16">
        <v>75912.91</v>
      </c>
      <c r="N359" s="31"/>
    </row>
    <row r="360" spans="1:15" ht="20">
      <c r="A360" s="39" t="s">
        <v>378</v>
      </c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31"/>
    </row>
    <row r="361" spans="1:15" ht="20">
      <c r="A361" s="22" t="s">
        <v>379</v>
      </c>
      <c r="B361" s="8">
        <f>SUM(B358:B360)</f>
        <v>0</v>
      </c>
      <c r="C361" s="8">
        <f t="shared" ref="C361:M361" si="7">SUM(C358:C360)</f>
        <v>0</v>
      </c>
      <c r="D361" s="8">
        <f t="shared" si="7"/>
        <v>0</v>
      </c>
      <c r="E361" s="8">
        <f t="shared" si="7"/>
        <v>1075912.9099999999</v>
      </c>
      <c r="F361" s="8">
        <f>SUM(F358:F360)</f>
        <v>75912.91</v>
      </c>
      <c r="G361" s="8">
        <f t="shared" si="7"/>
        <v>75912.91</v>
      </c>
      <c r="H361" s="8">
        <f t="shared" si="7"/>
        <v>75912.91</v>
      </c>
      <c r="I361" s="8">
        <f t="shared" si="7"/>
        <v>75912.91</v>
      </c>
      <c r="J361" s="8">
        <f t="shared" si="7"/>
        <v>75912.91</v>
      </c>
      <c r="K361" s="8">
        <f t="shared" si="7"/>
        <v>315912.90999999997</v>
      </c>
      <c r="L361" s="8">
        <f t="shared" si="7"/>
        <v>75912.91</v>
      </c>
      <c r="M361" s="8">
        <f t="shared" si="7"/>
        <v>75912.91</v>
      </c>
      <c r="N361" s="8">
        <f>SUM(B361:M361)</f>
        <v>1923216.1899999992</v>
      </c>
      <c r="O361" s="31">
        <f>SUM(N361+N355)</f>
        <v>1984794.7299999993</v>
      </c>
    </row>
    <row r="362" spans="1:15" ht="19">
      <c r="A362" s="14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31"/>
    </row>
    <row r="363" spans="1:15" ht="20">
      <c r="A363" s="48" t="s">
        <v>380</v>
      </c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31"/>
    </row>
    <row r="364" spans="1:15" ht="19">
      <c r="A364" s="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31"/>
    </row>
    <row r="365" spans="1:15" ht="20">
      <c r="A365" s="13" t="s">
        <v>381</v>
      </c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8"/>
    </row>
    <row r="366" spans="1:15" ht="20">
      <c r="A366" s="9" t="s">
        <v>382</v>
      </c>
      <c r="B366" s="16">
        <v>0</v>
      </c>
      <c r="C366" s="16">
        <v>0</v>
      </c>
      <c r="D366" s="16">
        <v>930</v>
      </c>
      <c r="E366" s="16">
        <v>0</v>
      </c>
      <c r="F366" s="16">
        <v>0</v>
      </c>
      <c r="G366" s="16">
        <v>0</v>
      </c>
      <c r="H366" s="16"/>
      <c r="I366" s="16"/>
      <c r="J366" s="16"/>
      <c r="K366" s="16"/>
      <c r="L366" s="16"/>
      <c r="M366" s="16"/>
      <c r="N366" s="8"/>
    </row>
    <row r="367" spans="1:15" ht="20">
      <c r="A367" s="9" t="s">
        <v>383</v>
      </c>
      <c r="B367" s="16">
        <v>0</v>
      </c>
      <c r="C367" s="16">
        <v>0</v>
      </c>
      <c r="D367" s="16">
        <v>23.3</v>
      </c>
      <c r="E367" s="16">
        <v>0</v>
      </c>
      <c r="F367" s="16">
        <v>0</v>
      </c>
      <c r="G367" s="16">
        <v>0</v>
      </c>
      <c r="H367" s="16"/>
      <c r="I367" s="16"/>
      <c r="J367" s="16"/>
      <c r="K367" s="16"/>
      <c r="L367" s="16"/>
      <c r="M367" s="16"/>
      <c r="N367" s="8"/>
    </row>
    <row r="368" spans="1:15" ht="20">
      <c r="A368" s="9" t="s">
        <v>384</v>
      </c>
      <c r="B368" s="16">
        <v>0</v>
      </c>
      <c r="C368" s="16">
        <v>0</v>
      </c>
      <c r="D368" s="16">
        <v>0</v>
      </c>
      <c r="E368" s="16">
        <v>220</v>
      </c>
      <c r="F368" s="16">
        <v>0</v>
      </c>
      <c r="G368" s="16">
        <v>0</v>
      </c>
      <c r="H368" s="16"/>
      <c r="I368" s="16"/>
      <c r="J368" s="16"/>
      <c r="K368" s="16"/>
      <c r="L368" s="16"/>
      <c r="M368" s="16"/>
      <c r="N368" s="8"/>
    </row>
    <row r="369" spans="1:14" ht="20">
      <c r="A369" s="9" t="s">
        <v>385</v>
      </c>
      <c r="B369" s="16">
        <v>0</v>
      </c>
      <c r="C369" s="16">
        <v>0</v>
      </c>
      <c r="D369" s="16">
        <v>1881.23</v>
      </c>
      <c r="E369" s="16">
        <v>0</v>
      </c>
      <c r="F369" s="16">
        <v>0</v>
      </c>
      <c r="G369" s="16">
        <v>0</v>
      </c>
      <c r="H369" s="16"/>
      <c r="I369" s="16"/>
      <c r="J369" s="16"/>
      <c r="K369" s="16"/>
      <c r="L369" s="16"/>
      <c r="M369" s="16"/>
      <c r="N369" s="8"/>
    </row>
    <row r="370" spans="1:14" ht="20">
      <c r="A370" s="9" t="s">
        <v>386</v>
      </c>
      <c r="B370" s="16">
        <v>0</v>
      </c>
      <c r="C370" s="16">
        <v>0</v>
      </c>
      <c r="D370" s="16">
        <v>771.66</v>
      </c>
      <c r="E370" s="16">
        <v>0</v>
      </c>
      <c r="F370" s="16">
        <v>0</v>
      </c>
      <c r="G370" s="16">
        <v>0</v>
      </c>
      <c r="H370" s="16"/>
      <c r="I370" s="16"/>
      <c r="J370" s="16"/>
      <c r="K370" s="16"/>
      <c r="L370" s="16"/>
      <c r="M370" s="16"/>
      <c r="N370" s="8"/>
    </row>
    <row r="371" spans="1:14" ht="20">
      <c r="A371" s="9" t="s">
        <v>387</v>
      </c>
      <c r="B371" s="16">
        <v>0</v>
      </c>
      <c r="C371" s="16">
        <v>0</v>
      </c>
      <c r="D371" s="16">
        <v>1017.4</v>
      </c>
      <c r="E371" s="16">
        <v>0</v>
      </c>
      <c r="F371" s="16">
        <v>0</v>
      </c>
      <c r="G371" s="16">
        <v>0</v>
      </c>
      <c r="H371" s="16"/>
      <c r="I371" s="16"/>
      <c r="J371" s="16"/>
      <c r="K371" s="16"/>
      <c r="L371" s="16"/>
      <c r="M371" s="16"/>
      <c r="N371" s="8"/>
    </row>
    <row r="372" spans="1:14" ht="20">
      <c r="A372" s="9" t="s">
        <v>388</v>
      </c>
      <c r="B372" s="16">
        <v>0</v>
      </c>
      <c r="C372" s="16">
        <v>0</v>
      </c>
      <c r="D372" s="16">
        <v>1060</v>
      </c>
      <c r="E372" s="16">
        <v>0</v>
      </c>
      <c r="F372" s="16">
        <v>0</v>
      </c>
      <c r="G372" s="16">
        <v>0</v>
      </c>
      <c r="H372" s="16"/>
      <c r="I372" s="16"/>
      <c r="J372" s="16"/>
      <c r="K372" s="16"/>
      <c r="L372" s="16"/>
      <c r="M372" s="16"/>
      <c r="N372" s="8"/>
    </row>
    <row r="373" spans="1:14" ht="20">
      <c r="A373" s="39" t="s">
        <v>389</v>
      </c>
      <c r="B373" s="16">
        <v>0</v>
      </c>
      <c r="C373" s="16">
        <v>0</v>
      </c>
      <c r="D373" s="16">
        <f>SUM(D366:D372)</f>
        <v>5683.5899999999992</v>
      </c>
      <c r="E373" s="16">
        <f>SUM(E366:E372)</f>
        <v>220</v>
      </c>
      <c r="F373" s="16">
        <v>0</v>
      </c>
      <c r="G373" s="16">
        <v>0</v>
      </c>
      <c r="H373" s="16"/>
      <c r="I373" s="16"/>
      <c r="J373" s="16"/>
      <c r="K373" s="16"/>
      <c r="L373" s="16"/>
      <c r="M373" s="16"/>
      <c r="N373" s="8"/>
    </row>
    <row r="374" spans="1:14" ht="20">
      <c r="A374" s="13" t="s">
        <v>390</v>
      </c>
      <c r="B374" s="16">
        <v>0</v>
      </c>
      <c r="C374" s="16">
        <v>500</v>
      </c>
      <c r="D374" s="16">
        <v>0</v>
      </c>
      <c r="E374" s="16">
        <v>0</v>
      </c>
      <c r="F374" s="16">
        <v>500</v>
      </c>
      <c r="G374" s="16">
        <v>0</v>
      </c>
      <c r="H374" s="16">
        <v>500</v>
      </c>
      <c r="I374" s="16"/>
      <c r="J374" s="16"/>
      <c r="K374" s="16">
        <v>500</v>
      </c>
      <c r="L374" s="16"/>
      <c r="M374" s="16"/>
      <c r="N374" s="8"/>
    </row>
    <row r="375" spans="1:14" ht="20">
      <c r="A375" s="13" t="s">
        <v>391</v>
      </c>
      <c r="B375" s="16">
        <v>0</v>
      </c>
      <c r="C375" s="16">
        <v>0</v>
      </c>
      <c r="D375" s="16">
        <v>0</v>
      </c>
      <c r="E375" s="16">
        <v>0</v>
      </c>
      <c r="F375" s="16">
        <v>0</v>
      </c>
      <c r="G375" s="16">
        <v>0</v>
      </c>
      <c r="H375" s="16"/>
      <c r="I375" s="16">
        <v>1000</v>
      </c>
      <c r="J375" s="16"/>
      <c r="K375" s="16">
        <v>2265</v>
      </c>
      <c r="L375" s="16"/>
      <c r="M375" s="16"/>
      <c r="N375" s="8"/>
    </row>
    <row r="376" spans="1:14" ht="20">
      <c r="A376" s="13" t="s">
        <v>392</v>
      </c>
      <c r="B376" s="16">
        <v>0</v>
      </c>
      <c r="C376" s="16">
        <v>2916.66</v>
      </c>
      <c r="D376" s="16">
        <v>1733.34</v>
      </c>
      <c r="E376" s="16">
        <v>3100</v>
      </c>
      <c r="F376" s="16">
        <v>1550</v>
      </c>
      <c r="G376" s="16">
        <v>4200</v>
      </c>
      <c r="H376" s="16">
        <v>0</v>
      </c>
      <c r="I376" s="16">
        <v>1550</v>
      </c>
      <c r="J376" s="16">
        <v>4650</v>
      </c>
      <c r="K376" s="16"/>
      <c r="L376" s="16">
        <v>0</v>
      </c>
      <c r="M376" s="16">
        <v>3100</v>
      </c>
      <c r="N376" s="8"/>
    </row>
    <row r="377" spans="1:14" ht="20">
      <c r="A377" s="13" t="s">
        <v>393</v>
      </c>
      <c r="B377" s="16">
        <v>0</v>
      </c>
      <c r="C377" s="16">
        <v>0</v>
      </c>
      <c r="D377" s="16">
        <v>0</v>
      </c>
      <c r="E377" s="16">
        <v>0</v>
      </c>
      <c r="F377" s="16">
        <v>0</v>
      </c>
      <c r="G377" s="16">
        <v>1500</v>
      </c>
      <c r="H377" s="16">
        <v>500</v>
      </c>
      <c r="I377" s="16"/>
      <c r="J377" s="16"/>
      <c r="K377" s="16">
        <v>1000</v>
      </c>
      <c r="L377" s="16"/>
      <c r="M377" s="16"/>
      <c r="N377" s="8"/>
    </row>
    <row r="378" spans="1:14" ht="20">
      <c r="A378" s="13" t="s">
        <v>394</v>
      </c>
      <c r="B378" s="16">
        <v>0</v>
      </c>
      <c r="C378" s="16">
        <v>750</v>
      </c>
      <c r="D378" s="16">
        <v>0</v>
      </c>
      <c r="E378" s="16">
        <v>0</v>
      </c>
      <c r="F378" s="16">
        <v>0</v>
      </c>
      <c r="G378" s="16">
        <v>0</v>
      </c>
      <c r="H378" s="16">
        <v>2000</v>
      </c>
      <c r="I378" s="16"/>
      <c r="J378" s="16"/>
      <c r="K378" s="16"/>
      <c r="L378" s="16"/>
      <c r="M378" s="16"/>
      <c r="N378" s="8"/>
    </row>
    <row r="379" spans="1:14" ht="20">
      <c r="A379" s="9" t="s">
        <v>395</v>
      </c>
      <c r="B379" s="16">
        <v>0</v>
      </c>
      <c r="C379" s="16">
        <v>0</v>
      </c>
      <c r="D379" s="16">
        <v>0</v>
      </c>
      <c r="E379" s="16">
        <v>0</v>
      </c>
      <c r="F379" s="16">
        <v>0</v>
      </c>
      <c r="G379" s="16">
        <v>0</v>
      </c>
      <c r="H379" s="16"/>
      <c r="I379" s="16"/>
      <c r="J379" s="16">
        <v>750</v>
      </c>
      <c r="K379" s="16"/>
      <c r="L379" s="16"/>
      <c r="M379" s="16"/>
      <c r="N379" s="8"/>
    </row>
    <row r="380" spans="1:14" ht="20">
      <c r="A380" s="9" t="s">
        <v>396</v>
      </c>
      <c r="B380" s="16">
        <v>0</v>
      </c>
      <c r="C380" s="16">
        <v>1000</v>
      </c>
      <c r="D380" s="16">
        <v>0</v>
      </c>
      <c r="E380" s="16">
        <v>0</v>
      </c>
      <c r="F380" s="16">
        <v>0</v>
      </c>
      <c r="G380" s="16">
        <v>500</v>
      </c>
      <c r="H380" s="16"/>
      <c r="I380" s="16"/>
      <c r="J380" s="16">
        <v>300</v>
      </c>
      <c r="K380" s="16"/>
      <c r="L380" s="16"/>
      <c r="M380" s="16">
        <v>497.27</v>
      </c>
      <c r="N380" s="8"/>
    </row>
    <row r="381" spans="1:14" ht="20">
      <c r="A381" s="9" t="s">
        <v>397</v>
      </c>
      <c r="B381" s="16">
        <v>0</v>
      </c>
      <c r="C381" s="16">
        <v>0</v>
      </c>
      <c r="D381" s="16">
        <v>0</v>
      </c>
      <c r="E381" s="16">
        <v>0</v>
      </c>
      <c r="F381" s="16">
        <v>580</v>
      </c>
      <c r="G381" s="16">
        <v>0</v>
      </c>
      <c r="H381" s="16"/>
      <c r="I381" s="16"/>
      <c r="J381" s="16"/>
      <c r="K381" s="16"/>
      <c r="L381" s="16"/>
      <c r="M381" s="16">
        <v>500</v>
      </c>
      <c r="N381" s="8"/>
    </row>
    <row r="382" spans="1:14" ht="20">
      <c r="A382" s="9" t="s">
        <v>398</v>
      </c>
      <c r="B382" s="16">
        <v>0</v>
      </c>
      <c r="C382" s="16">
        <v>0</v>
      </c>
      <c r="D382" s="16">
        <v>0</v>
      </c>
      <c r="E382" s="16">
        <v>0</v>
      </c>
      <c r="F382" s="16">
        <v>0</v>
      </c>
      <c r="G382" s="16">
        <v>0</v>
      </c>
      <c r="H382" s="16"/>
      <c r="I382" s="16">
        <v>1000</v>
      </c>
      <c r="J382" s="16">
        <v>3000</v>
      </c>
      <c r="K382" s="16"/>
      <c r="L382" s="16"/>
      <c r="M382" s="16"/>
      <c r="N382" s="8"/>
    </row>
    <row r="383" spans="1:14" ht="20">
      <c r="A383" s="9" t="s">
        <v>399</v>
      </c>
      <c r="B383" s="16">
        <v>0</v>
      </c>
      <c r="C383" s="16">
        <f>SUM(C378:C382)</f>
        <v>1750</v>
      </c>
      <c r="D383" s="16">
        <v>0</v>
      </c>
      <c r="E383" s="16">
        <v>0</v>
      </c>
      <c r="F383" s="16">
        <f>SUM(F377:F382)</f>
        <v>580</v>
      </c>
      <c r="G383" s="16">
        <v>500</v>
      </c>
      <c r="H383" s="16"/>
      <c r="I383" s="16"/>
      <c r="J383" s="16"/>
      <c r="K383" s="16"/>
      <c r="L383" s="16"/>
      <c r="M383" s="16"/>
      <c r="N383" s="8"/>
    </row>
    <row r="384" spans="1:14" ht="20">
      <c r="A384" s="39" t="s">
        <v>400</v>
      </c>
      <c r="B384" s="16">
        <v>0</v>
      </c>
      <c r="C384" s="16">
        <v>0</v>
      </c>
      <c r="D384" s="16">
        <v>0</v>
      </c>
      <c r="E384" s="16">
        <v>0</v>
      </c>
      <c r="F384" s="16">
        <v>580</v>
      </c>
      <c r="G384" s="16">
        <v>0</v>
      </c>
      <c r="H384" s="16"/>
      <c r="I384" s="16"/>
      <c r="J384" s="16"/>
      <c r="K384" s="16"/>
      <c r="L384" s="16"/>
      <c r="M384" s="16"/>
      <c r="N384" s="8"/>
    </row>
    <row r="385" spans="1:14" ht="19">
      <c r="A385" s="14" t="s">
        <v>401</v>
      </c>
      <c r="B385" s="16">
        <v>0</v>
      </c>
      <c r="C385" s="16">
        <v>0</v>
      </c>
      <c r="D385" s="16">
        <v>0</v>
      </c>
      <c r="E385" s="16">
        <v>0</v>
      </c>
      <c r="F385" s="16">
        <v>800</v>
      </c>
      <c r="G385" s="16">
        <v>0</v>
      </c>
      <c r="H385" s="16">
        <v>3764.33</v>
      </c>
      <c r="I385" s="16"/>
      <c r="J385" s="16"/>
      <c r="K385" s="16">
        <v>495.56</v>
      </c>
      <c r="L385" s="16"/>
      <c r="M385" s="16"/>
      <c r="N385" s="8"/>
    </row>
    <row r="386" spans="1:14" ht="19">
      <c r="A386" s="14" t="s">
        <v>402</v>
      </c>
      <c r="B386" s="16">
        <v>0</v>
      </c>
      <c r="C386" s="16">
        <v>0</v>
      </c>
      <c r="D386" s="16">
        <v>0</v>
      </c>
      <c r="E386" s="16">
        <v>0</v>
      </c>
      <c r="F386" s="16">
        <v>0</v>
      </c>
      <c r="G386" s="16">
        <v>0</v>
      </c>
      <c r="H386" s="16"/>
      <c r="I386" s="16"/>
      <c r="J386" s="16"/>
      <c r="K386" s="16"/>
      <c r="L386" s="16"/>
      <c r="M386" s="16"/>
      <c r="N386" s="8"/>
    </row>
    <row r="387" spans="1:14" ht="19">
      <c r="A387" s="14" t="s">
        <v>403</v>
      </c>
      <c r="B387" s="16">
        <v>190</v>
      </c>
      <c r="C387" s="16">
        <v>0</v>
      </c>
      <c r="D387" s="16">
        <v>900</v>
      </c>
      <c r="E387" s="16">
        <v>1100</v>
      </c>
      <c r="F387" s="16">
        <v>1600</v>
      </c>
      <c r="G387" s="16">
        <v>700</v>
      </c>
      <c r="H387" s="16">
        <v>3400</v>
      </c>
      <c r="I387" s="16"/>
      <c r="J387" s="16"/>
      <c r="K387" s="16"/>
      <c r="L387" s="16"/>
      <c r="M387" s="16"/>
      <c r="N387" s="8"/>
    </row>
    <row r="388" spans="1:14" ht="20">
      <c r="A388" s="13" t="s">
        <v>404</v>
      </c>
      <c r="B388" s="16">
        <v>0</v>
      </c>
      <c r="C388" s="16">
        <v>500</v>
      </c>
      <c r="D388" s="16">
        <v>800</v>
      </c>
      <c r="E388" s="16">
        <v>1200</v>
      </c>
      <c r="F388" s="16">
        <v>0</v>
      </c>
      <c r="G388" s="16">
        <v>500</v>
      </c>
      <c r="H388" s="16"/>
      <c r="I388" s="16">
        <v>1000</v>
      </c>
      <c r="J388" s="16">
        <v>1700</v>
      </c>
      <c r="K388" s="16">
        <v>2400</v>
      </c>
      <c r="L388" s="16">
        <v>3189.58</v>
      </c>
      <c r="M388" s="16"/>
      <c r="N388" s="8"/>
    </row>
    <row r="389" spans="1:14" ht="20">
      <c r="A389" s="13" t="s">
        <v>405</v>
      </c>
      <c r="B389" s="16">
        <v>0</v>
      </c>
      <c r="C389" s="16">
        <v>3375</v>
      </c>
      <c r="D389" s="16">
        <v>0</v>
      </c>
      <c r="E389" s="16">
        <v>0</v>
      </c>
      <c r="F389" s="16">
        <v>0</v>
      </c>
      <c r="G389" s="16">
        <v>4487.5</v>
      </c>
      <c r="H389" s="16"/>
      <c r="I389" s="16"/>
      <c r="J389" s="16">
        <v>600</v>
      </c>
      <c r="K389" s="16">
        <v>1500</v>
      </c>
      <c r="L389" s="16"/>
      <c r="M389" s="16"/>
      <c r="N389" s="8"/>
    </row>
    <row r="390" spans="1:14" ht="20">
      <c r="A390" s="13" t="s">
        <v>406</v>
      </c>
      <c r="B390" s="16">
        <v>0</v>
      </c>
      <c r="C390" s="16">
        <v>257.49</v>
      </c>
      <c r="D390" s="16">
        <v>0</v>
      </c>
      <c r="E390" s="16">
        <v>0</v>
      </c>
      <c r="F390" s="16">
        <v>3150</v>
      </c>
      <c r="G390" s="16">
        <v>0</v>
      </c>
      <c r="H390" s="16"/>
      <c r="I390" s="16"/>
      <c r="J390" s="16">
        <v>3375</v>
      </c>
      <c r="K390" s="16"/>
      <c r="L390" s="16">
        <v>5637.5</v>
      </c>
      <c r="M390" s="16"/>
      <c r="N390" s="8"/>
    </row>
    <row r="391" spans="1:14" ht="22" customHeight="1">
      <c r="A391" s="13" t="s">
        <v>407</v>
      </c>
      <c r="B391" s="16">
        <v>0</v>
      </c>
      <c r="C391" s="16">
        <v>0</v>
      </c>
      <c r="D391" s="16">
        <v>0</v>
      </c>
      <c r="E391" s="16">
        <v>0</v>
      </c>
      <c r="F391" s="16">
        <v>5600</v>
      </c>
      <c r="G391" s="16">
        <v>0</v>
      </c>
      <c r="H391" s="16"/>
      <c r="I391" s="16"/>
      <c r="J391" s="16">
        <v>1350</v>
      </c>
      <c r="K391" s="16">
        <v>1150</v>
      </c>
      <c r="L391" s="16"/>
      <c r="M391" s="16">
        <v>5890</v>
      </c>
      <c r="N391" s="8"/>
    </row>
    <row r="392" spans="1:14" ht="20">
      <c r="A392" s="17" t="s">
        <v>125</v>
      </c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8"/>
    </row>
    <row r="393" spans="1:14" ht="20">
      <c r="A393" s="15" t="s">
        <v>126</v>
      </c>
      <c r="B393" s="16">
        <v>0</v>
      </c>
      <c r="C393" s="16">
        <v>0</v>
      </c>
      <c r="D393" s="16">
        <v>0</v>
      </c>
      <c r="E393" s="16">
        <v>0</v>
      </c>
      <c r="F393" s="16">
        <v>0</v>
      </c>
      <c r="G393" s="16">
        <v>0</v>
      </c>
      <c r="H393" s="16"/>
      <c r="I393" s="16"/>
      <c r="J393" s="16"/>
      <c r="K393" s="16">
        <v>785.92</v>
      </c>
      <c r="L393" s="16">
        <v>1978.99</v>
      </c>
      <c r="M393" s="16"/>
      <c r="N393" s="8"/>
    </row>
    <row r="394" spans="1:14" ht="20">
      <c r="A394" s="15" t="s">
        <v>127</v>
      </c>
      <c r="B394" s="16">
        <v>0</v>
      </c>
      <c r="C394" s="16">
        <v>64.37</v>
      </c>
      <c r="D394" s="16">
        <v>0</v>
      </c>
      <c r="E394" s="16">
        <v>0</v>
      </c>
      <c r="F394" s="16">
        <v>0</v>
      </c>
      <c r="G394" s="16">
        <v>0</v>
      </c>
      <c r="H394" s="16"/>
      <c r="I394" s="16"/>
      <c r="J394" s="16"/>
      <c r="K394" s="16"/>
      <c r="L394" s="16"/>
      <c r="M394" s="16"/>
      <c r="N394" s="8"/>
    </row>
    <row r="395" spans="1:14" ht="20">
      <c r="A395" s="15" t="s">
        <v>128</v>
      </c>
      <c r="B395" s="16">
        <v>650</v>
      </c>
      <c r="C395" s="16">
        <v>0</v>
      </c>
      <c r="D395" s="16">
        <v>0</v>
      </c>
      <c r="E395" s="16">
        <v>0</v>
      </c>
      <c r="F395" s="16">
        <v>0</v>
      </c>
      <c r="G395" s="16">
        <v>0</v>
      </c>
      <c r="H395" s="16"/>
      <c r="I395" s="16"/>
      <c r="J395" s="16"/>
      <c r="K395" s="16"/>
      <c r="L395" s="16"/>
      <c r="M395" s="16"/>
      <c r="N395" s="8"/>
    </row>
    <row r="396" spans="1:14" ht="20">
      <c r="A396" s="15" t="s">
        <v>129</v>
      </c>
      <c r="B396" s="16">
        <v>0</v>
      </c>
      <c r="C396" s="16">
        <v>0</v>
      </c>
      <c r="D396" s="16">
        <v>5907</v>
      </c>
      <c r="E396" s="16">
        <v>0</v>
      </c>
      <c r="F396" s="16">
        <v>0</v>
      </c>
      <c r="G396" s="16">
        <v>0</v>
      </c>
      <c r="H396" s="16"/>
      <c r="I396" s="16"/>
      <c r="J396" s="16"/>
      <c r="K396" s="16"/>
      <c r="L396" s="16"/>
      <c r="M396" s="16"/>
      <c r="N396" s="8"/>
    </row>
    <row r="397" spans="1:14" ht="20">
      <c r="A397" s="15" t="s">
        <v>130</v>
      </c>
      <c r="B397" s="16">
        <v>0</v>
      </c>
      <c r="C397" s="16">
        <v>0</v>
      </c>
      <c r="D397" s="16">
        <v>726</v>
      </c>
      <c r="E397" s="16">
        <v>774</v>
      </c>
      <c r="F397" s="16">
        <v>0</v>
      </c>
      <c r="G397" s="16">
        <v>0</v>
      </c>
      <c r="H397" s="16"/>
      <c r="I397" s="16"/>
      <c r="J397" s="16"/>
      <c r="K397" s="16"/>
      <c r="L397" s="16"/>
      <c r="M397" s="16"/>
      <c r="N397" s="8"/>
    </row>
    <row r="398" spans="1:14" ht="20">
      <c r="A398" s="33" t="s">
        <v>131</v>
      </c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8"/>
    </row>
    <row r="399" spans="1:14" ht="22" customHeight="1">
      <c r="A399" s="13" t="s">
        <v>408</v>
      </c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8"/>
    </row>
    <row r="400" spans="1:14" ht="22" customHeight="1">
      <c r="A400" s="13" t="s">
        <v>409</v>
      </c>
      <c r="B400" s="16">
        <v>446.38</v>
      </c>
      <c r="C400" s="16">
        <v>446.4</v>
      </c>
      <c r="D400" s="16">
        <v>0</v>
      </c>
      <c r="E400" s="16">
        <v>0</v>
      </c>
      <c r="F400" s="16">
        <v>441.87</v>
      </c>
      <c r="G400" s="16">
        <v>441.87</v>
      </c>
      <c r="H400" s="16">
        <v>441.87</v>
      </c>
      <c r="I400" s="16">
        <v>454.68</v>
      </c>
      <c r="J400" s="16">
        <v>441.87</v>
      </c>
      <c r="K400" s="16">
        <v>441.87</v>
      </c>
      <c r="L400" s="16">
        <v>441.87</v>
      </c>
      <c r="M400" s="16">
        <v>441.87</v>
      </c>
      <c r="N400" s="8"/>
    </row>
    <row r="401" spans="1:14" ht="21" customHeight="1">
      <c r="A401" s="13" t="s">
        <v>410</v>
      </c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31"/>
    </row>
    <row r="402" spans="1:14" ht="21" customHeight="1">
      <c r="A402" s="13" t="s">
        <v>411</v>
      </c>
      <c r="B402" s="16"/>
      <c r="C402" s="16"/>
      <c r="D402" s="16"/>
      <c r="E402" s="16"/>
      <c r="F402" s="16"/>
      <c r="G402" s="16"/>
      <c r="H402" s="16">
        <v>1934</v>
      </c>
      <c r="I402" s="16">
        <v>1934</v>
      </c>
      <c r="J402" s="16">
        <v>1934</v>
      </c>
      <c r="K402" s="16">
        <v>1934</v>
      </c>
      <c r="L402" s="16">
        <v>1934</v>
      </c>
      <c r="M402" s="16"/>
      <c r="N402" s="31"/>
    </row>
    <row r="403" spans="1:14" ht="21" customHeight="1">
      <c r="A403" s="9" t="s">
        <v>412</v>
      </c>
      <c r="B403" s="16">
        <v>0</v>
      </c>
      <c r="C403" s="16">
        <v>0</v>
      </c>
      <c r="D403" s="16">
        <v>0</v>
      </c>
      <c r="E403" s="16">
        <v>0</v>
      </c>
      <c r="F403" s="16">
        <v>0</v>
      </c>
      <c r="G403" s="16">
        <v>400</v>
      </c>
      <c r="H403" s="16"/>
      <c r="I403" s="16"/>
      <c r="J403" s="16"/>
      <c r="K403" s="16"/>
      <c r="L403" s="16"/>
      <c r="M403" s="16"/>
      <c r="N403" s="31"/>
    </row>
    <row r="404" spans="1:14" ht="21" customHeight="1">
      <c r="A404" s="9" t="s">
        <v>413</v>
      </c>
      <c r="B404" s="16">
        <v>0</v>
      </c>
      <c r="C404" s="16">
        <v>0</v>
      </c>
      <c r="D404" s="16">
        <v>1000</v>
      </c>
      <c r="E404" s="16">
        <v>0</v>
      </c>
      <c r="F404" s="16">
        <v>1000</v>
      </c>
      <c r="G404" s="16">
        <v>0</v>
      </c>
      <c r="H404" s="16"/>
      <c r="I404" s="16"/>
      <c r="J404" s="16">
        <v>1500</v>
      </c>
      <c r="K404" s="16">
        <v>1000</v>
      </c>
      <c r="L404" s="16">
        <v>1000</v>
      </c>
      <c r="M404" s="16"/>
      <c r="N404" s="31"/>
    </row>
    <row r="405" spans="1:14" ht="21" customHeight="1">
      <c r="A405" s="9" t="s">
        <v>414</v>
      </c>
      <c r="B405" s="16">
        <v>0</v>
      </c>
      <c r="C405" s="16">
        <v>0</v>
      </c>
      <c r="D405" s="16">
        <v>1622.22</v>
      </c>
      <c r="E405" s="16">
        <v>0</v>
      </c>
      <c r="F405" s="16">
        <v>0</v>
      </c>
      <c r="G405" s="16">
        <v>0</v>
      </c>
      <c r="H405" s="16">
        <v>1730</v>
      </c>
      <c r="I405" s="16"/>
      <c r="J405" s="16"/>
      <c r="K405" s="16"/>
      <c r="L405" s="16"/>
      <c r="M405" s="16"/>
      <c r="N405" s="31"/>
    </row>
    <row r="406" spans="1:14" ht="21" customHeight="1">
      <c r="A406" s="9" t="s">
        <v>415</v>
      </c>
      <c r="B406" s="16">
        <v>0</v>
      </c>
      <c r="C406" s="16">
        <v>0</v>
      </c>
      <c r="D406" s="16">
        <v>0</v>
      </c>
      <c r="E406" s="16">
        <v>8000</v>
      </c>
      <c r="F406" s="16">
        <v>3400</v>
      </c>
      <c r="G406" s="16">
        <v>0</v>
      </c>
      <c r="H406" s="16"/>
      <c r="I406" s="16"/>
      <c r="J406" s="16"/>
      <c r="K406" s="46">
        <v>2500</v>
      </c>
      <c r="L406" s="16"/>
      <c r="M406" s="16"/>
      <c r="N406" s="31"/>
    </row>
    <row r="407" spans="1:14" ht="21" customHeight="1">
      <c r="A407" s="39" t="s">
        <v>416</v>
      </c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31"/>
    </row>
    <row r="408" spans="1:14" ht="22" customHeight="1">
      <c r="A408" s="18" t="s">
        <v>15</v>
      </c>
      <c r="B408" s="16"/>
      <c r="C408" s="16"/>
      <c r="D408" s="7"/>
      <c r="E408" s="16"/>
      <c r="F408" s="16"/>
      <c r="G408" s="16"/>
      <c r="H408" s="16"/>
      <c r="I408" s="16"/>
      <c r="J408" s="16"/>
      <c r="K408" s="16">
        <v>756.45</v>
      </c>
      <c r="L408" s="16"/>
      <c r="M408" s="16">
        <v>141.01</v>
      </c>
      <c r="N408" s="31"/>
    </row>
    <row r="409" spans="1:14" ht="20" customHeight="1">
      <c r="A409" s="17" t="s">
        <v>417</v>
      </c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8"/>
    </row>
    <row r="410" spans="1:14" ht="20" customHeight="1">
      <c r="A410" s="15" t="s">
        <v>418</v>
      </c>
      <c r="B410" s="16">
        <v>1897</v>
      </c>
      <c r="C410" s="16">
        <v>1897</v>
      </c>
      <c r="D410" s="16">
        <v>2497</v>
      </c>
      <c r="E410" s="16">
        <v>2097</v>
      </c>
      <c r="F410" s="16">
        <v>2097</v>
      </c>
      <c r="G410" s="16">
        <v>2097</v>
      </c>
      <c r="H410" s="16">
        <v>2097</v>
      </c>
      <c r="I410" s="16">
        <v>2097</v>
      </c>
      <c r="J410" s="16">
        <v>2097</v>
      </c>
      <c r="K410" s="16">
        <v>2097</v>
      </c>
      <c r="L410" s="16">
        <v>2097</v>
      </c>
      <c r="M410" s="16">
        <v>2097</v>
      </c>
      <c r="N410" s="8"/>
    </row>
    <row r="411" spans="1:14" ht="20" customHeight="1">
      <c r="A411" s="15" t="s">
        <v>419</v>
      </c>
      <c r="B411" s="16">
        <v>0</v>
      </c>
      <c r="C411" s="16">
        <v>800</v>
      </c>
      <c r="D411" s="16">
        <v>400</v>
      </c>
      <c r="E411" s="16">
        <v>400</v>
      </c>
      <c r="F411" s="16">
        <v>400</v>
      </c>
      <c r="G411" s="16">
        <v>400</v>
      </c>
      <c r="H411" s="16">
        <v>400</v>
      </c>
      <c r="I411" s="16">
        <v>400</v>
      </c>
      <c r="J411" s="16">
        <v>400</v>
      </c>
      <c r="K411" s="16">
        <v>400</v>
      </c>
      <c r="L411" s="16">
        <v>400</v>
      </c>
      <c r="M411" s="16">
        <v>400</v>
      </c>
      <c r="N411" s="8"/>
    </row>
    <row r="412" spans="1:14" ht="21" customHeight="1">
      <c r="A412" s="33" t="s">
        <v>420</v>
      </c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8"/>
    </row>
    <row r="413" spans="1:14" ht="20">
      <c r="A413" s="22" t="s">
        <v>421</v>
      </c>
      <c r="B413" s="8">
        <f>SUM(B366:B412)</f>
        <v>3183.38</v>
      </c>
      <c r="C413" s="8">
        <f t="shared" ref="C413:M413" si="8">SUM(C366:C412)</f>
        <v>14256.92</v>
      </c>
      <c r="D413" s="8">
        <f t="shared" si="8"/>
        <v>26952.739999999998</v>
      </c>
      <c r="E413" s="8">
        <f t="shared" si="8"/>
        <v>17111</v>
      </c>
      <c r="F413" s="8">
        <f>SUM(F366:F412)</f>
        <v>22278.870000000003</v>
      </c>
      <c r="G413" s="8">
        <f t="shared" si="8"/>
        <v>15726.37</v>
      </c>
      <c r="H413" s="8">
        <f t="shared" si="8"/>
        <v>16767.2</v>
      </c>
      <c r="I413" s="8">
        <f t="shared" si="8"/>
        <v>9435.68</v>
      </c>
      <c r="J413" s="8">
        <f t="shared" si="8"/>
        <v>22097.870000000003</v>
      </c>
      <c r="K413" s="8">
        <f t="shared" si="8"/>
        <v>19225.800000000003</v>
      </c>
      <c r="L413" s="8">
        <f t="shared" si="8"/>
        <v>16678.940000000002</v>
      </c>
      <c r="M413" s="8">
        <f t="shared" si="8"/>
        <v>13067.150000000001</v>
      </c>
      <c r="N413" s="54">
        <f>SUM(B413:M413)</f>
        <v>196781.92</v>
      </c>
    </row>
    <row r="414" spans="1:14" s="2" customFormat="1" ht="22">
      <c r="A414" s="4" t="s">
        <v>60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3"/>
    </row>
    <row r="415" spans="1:14" s="2" customFormat="1" ht="20">
      <c r="A415" s="9" t="s">
        <v>61</v>
      </c>
      <c r="B415" s="7">
        <v>1500</v>
      </c>
      <c r="C415" s="7">
        <v>1500</v>
      </c>
      <c r="D415" s="7">
        <v>1500</v>
      </c>
      <c r="E415" s="7">
        <v>1600</v>
      </c>
      <c r="F415" s="7">
        <v>1600</v>
      </c>
      <c r="G415" s="7">
        <v>1600</v>
      </c>
      <c r="H415" s="7">
        <v>1600</v>
      </c>
      <c r="I415" s="7">
        <v>1600</v>
      </c>
      <c r="J415" s="7">
        <v>1600</v>
      </c>
      <c r="K415" s="7">
        <v>1600</v>
      </c>
      <c r="L415" s="7">
        <v>1600</v>
      </c>
      <c r="M415" s="7">
        <v>3200</v>
      </c>
      <c r="N415" s="3"/>
    </row>
    <row r="416" spans="1:14" s="2" customFormat="1" ht="20">
      <c r="A416" s="9" t="s">
        <v>62</v>
      </c>
      <c r="B416" s="7">
        <v>500</v>
      </c>
      <c r="C416" s="7">
        <v>500</v>
      </c>
      <c r="D416" s="7">
        <v>500</v>
      </c>
      <c r="E416" s="7">
        <v>500</v>
      </c>
      <c r="F416" s="7">
        <v>500</v>
      </c>
      <c r="G416" s="7">
        <v>500</v>
      </c>
      <c r="H416" s="7">
        <v>500</v>
      </c>
      <c r="I416" s="7">
        <v>500</v>
      </c>
      <c r="J416" s="7">
        <v>500</v>
      </c>
      <c r="K416" s="7">
        <v>500</v>
      </c>
      <c r="L416" s="7">
        <v>500</v>
      </c>
      <c r="M416" s="7">
        <v>1000</v>
      </c>
      <c r="N416" s="3"/>
    </row>
    <row r="417" spans="1:14" s="2" customFormat="1" ht="20">
      <c r="A417" s="9" t="s">
        <v>63</v>
      </c>
      <c r="B417" s="7">
        <v>1500</v>
      </c>
      <c r="C417" s="7">
        <v>1500</v>
      </c>
      <c r="D417" s="7">
        <v>1500</v>
      </c>
      <c r="E417" s="7">
        <v>1600</v>
      </c>
      <c r="F417" s="7">
        <v>1600</v>
      </c>
      <c r="G417" s="7">
        <v>1600</v>
      </c>
      <c r="H417" s="7">
        <v>1600</v>
      </c>
      <c r="I417" s="7">
        <v>1600</v>
      </c>
      <c r="J417" s="7">
        <v>1600</v>
      </c>
      <c r="K417" s="7">
        <v>1600</v>
      </c>
      <c r="L417" s="7">
        <v>1600</v>
      </c>
      <c r="M417" s="7">
        <v>3200</v>
      </c>
      <c r="N417" s="3"/>
    </row>
    <row r="418" spans="1:14" s="2" customFormat="1" ht="20">
      <c r="A418" s="9" t="s">
        <v>64</v>
      </c>
      <c r="B418" s="7">
        <v>10200.620000000001</v>
      </c>
      <c r="C418" s="7">
        <v>10200.620000000001</v>
      </c>
      <c r="D418" s="7">
        <v>10200.620000000001</v>
      </c>
      <c r="E418" s="7">
        <v>10200.620000000001</v>
      </c>
      <c r="F418" s="7">
        <v>11200.62</v>
      </c>
      <c r="G418" s="7">
        <v>10200.620000000001</v>
      </c>
      <c r="H418" s="7">
        <v>10200.620000000001</v>
      </c>
      <c r="I418" s="7">
        <v>10200.620000000001</v>
      </c>
      <c r="J418" s="7">
        <v>10200.620000000001</v>
      </c>
      <c r="K418" s="7">
        <v>10200.620000000001</v>
      </c>
      <c r="L418" s="7">
        <v>10200.620000000001</v>
      </c>
      <c r="M418" s="7">
        <v>20404.11</v>
      </c>
      <c r="N418" s="3"/>
    </row>
    <row r="419" spans="1:14" s="2" customFormat="1" ht="20">
      <c r="A419" s="10" t="s">
        <v>65</v>
      </c>
      <c r="B419" s="11">
        <f>SUM(B415:B418)</f>
        <v>13700.62</v>
      </c>
      <c r="C419" s="11">
        <f t="shared" ref="C419:M419" si="9">SUM(C415:C418)</f>
        <v>13700.62</v>
      </c>
      <c r="D419" s="11">
        <f t="shared" si="9"/>
        <v>13700.62</v>
      </c>
      <c r="E419" s="11">
        <f t="shared" si="9"/>
        <v>13900.62</v>
      </c>
      <c r="F419" s="11">
        <f t="shared" si="9"/>
        <v>14900.62</v>
      </c>
      <c r="G419" s="11">
        <f t="shared" si="9"/>
        <v>13900.62</v>
      </c>
      <c r="H419" s="11">
        <f t="shared" si="9"/>
        <v>13900.62</v>
      </c>
      <c r="I419" s="11">
        <f t="shared" si="9"/>
        <v>13900.62</v>
      </c>
      <c r="J419" s="11">
        <f t="shared" si="9"/>
        <v>13900.62</v>
      </c>
      <c r="K419" s="11">
        <f t="shared" si="9"/>
        <v>13900.62</v>
      </c>
      <c r="L419" s="11">
        <f t="shared" si="9"/>
        <v>13900.62</v>
      </c>
      <c r="M419" s="11">
        <f t="shared" si="9"/>
        <v>27804.11</v>
      </c>
      <c r="N419" s="11">
        <f>SUM(B419:M419)</f>
        <v>181110.93</v>
      </c>
    </row>
    <row r="420" spans="1:14" ht="35" customHeight="1">
      <c r="A420" s="48" t="s">
        <v>422</v>
      </c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31"/>
    </row>
    <row r="421" spans="1:14" ht="19">
      <c r="A421" s="20" t="s">
        <v>106</v>
      </c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31"/>
    </row>
    <row r="422" spans="1:14" ht="20">
      <c r="A422" s="15" t="s">
        <v>107</v>
      </c>
      <c r="B422" s="16"/>
      <c r="C422" s="16"/>
      <c r="D422" s="16">
        <v>2000</v>
      </c>
      <c r="E422" s="16"/>
      <c r="F422" s="16"/>
      <c r="G422" s="16"/>
      <c r="H422" s="16"/>
      <c r="I422" s="16"/>
      <c r="J422" s="16"/>
      <c r="K422" s="16"/>
      <c r="L422" s="16"/>
      <c r="M422" s="16"/>
      <c r="N422" s="8"/>
    </row>
    <row r="423" spans="1:14" ht="20">
      <c r="A423" s="15" t="s">
        <v>16</v>
      </c>
      <c r="B423" s="16">
        <v>365</v>
      </c>
      <c r="C423" s="16">
        <v>365</v>
      </c>
      <c r="D423" s="16">
        <v>379.6</v>
      </c>
      <c r="E423" s="16">
        <v>379.6</v>
      </c>
      <c r="F423" s="16">
        <v>379.6</v>
      </c>
      <c r="G423" s="16">
        <v>379.6</v>
      </c>
      <c r="H423" s="16">
        <v>379.6</v>
      </c>
      <c r="I423" s="16">
        <v>379.6</v>
      </c>
      <c r="J423" s="16">
        <v>379.6</v>
      </c>
      <c r="K423" s="16">
        <v>379.6</v>
      </c>
      <c r="L423" s="16">
        <v>379.6</v>
      </c>
      <c r="M423" s="16">
        <v>379.6</v>
      </c>
      <c r="N423" s="8"/>
    </row>
    <row r="424" spans="1:14" ht="20">
      <c r="A424" s="15" t="s">
        <v>108</v>
      </c>
      <c r="B424" s="16">
        <v>525.03</v>
      </c>
      <c r="C424" s="16">
        <v>525.03</v>
      </c>
      <c r="D424" s="16">
        <v>525.03</v>
      </c>
      <c r="E424" s="16">
        <v>525.03</v>
      </c>
      <c r="F424" s="16">
        <v>525.05999999999995</v>
      </c>
      <c r="G424" s="16">
        <v>585.41</v>
      </c>
      <c r="H424" s="16">
        <v>585.41</v>
      </c>
      <c r="I424" s="16">
        <v>585.41</v>
      </c>
      <c r="J424" s="16">
        <v>585.41</v>
      </c>
      <c r="K424" s="16">
        <v>585.41</v>
      </c>
      <c r="L424" s="16">
        <v>585.41</v>
      </c>
      <c r="M424" s="16">
        <v>585.41</v>
      </c>
      <c r="N424" s="8"/>
    </row>
    <row r="425" spans="1:14" ht="20">
      <c r="A425" s="15" t="s">
        <v>109</v>
      </c>
      <c r="B425" s="16">
        <v>2860.57</v>
      </c>
      <c r="C425" s="16">
        <v>2865.99</v>
      </c>
      <c r="D425" s="16">
        <v>2967.89</v>
      </c>
      <c r="E425" s="16">
        <v>1967.89</v>
      </c>
      <c r="F425" s="16">
        <v>2983.79</v>
      </c>
      <c r="G425" s="16">
        <v>1983.79</v>
      </c>
      <c r="H425" s="16">
        <v>2983.79</v>
      </c>
      <c r="I425" s="16">
        <v>2983.79</v>
      </c>
      <c r="J425" s="16">
        <v>2983.79</v>
      </c>
      <c r="K425" s="16">
        <v>2983.79</v>
      </c>
      <c r="L425" s="16">
        <v>2983.79</v>
      </c>
      <c r="M425" s="16">
        <v>2983.79</v>
      </c>
      <c r="N425" s="8"/>
    </row>
    <row r="426" spans="1:14" ht="20">
      <c r="A426" s="15" t="s">
        <v>110</v>
      </c>
      <c r="B426" s="16">
        <v>578.6</v>
      </c>
      <c r="C426" s="16">
        <v>578.6</v>
      </c>
      <c r="D426" s="16">
        <v>601.12</v>
      </c>
      <c r="E426" s="16">
        <v>601.12</v>
      </c>
      <c r="F426" s="16">
        <v>601.12</v>
      </c>
      <c r="G426" s="16">
        <v>601.12</v>
      </c>
      <c r="H426" s="16">
        <v>601.12</v>
      </c>
      <c r="I426" s="16">
        <v>601.12</v>
      </c>
      <c r="J426" s="16">
        <v>601.12</v>
      </c>
      <c r="K426" s="16">
        <v>601.12</v>
      </c>
      <c r="L426" s="16">
        <v>601.12</v>
      </c>
      <c r="M426" s="16">
        <v>601.12</v>
      </c>
      <c r="N426" s="8"/>
    </row>
    <row r="427" spans="1:14" ht="20">
      <c r="A427" s="15" t="s">
        <v>81</v>
      </c>
      <c r="B427" s="16">
        <v>0</v>
      </c>
      <c r="C427" s="16">
        <v>0</v>
      </c>
      <c r="D427" s="16">
        <v>0</v>
      </c>
      <c r="E427" s="16">
        <v>0</v>
      </c>
      <c r="F427" s="16"/>
      <c r="G427" s="16"/>
      <c r="H427" s="16"/>
      <c r="I427" s="16"/>
      <c r="J427" s="16"/>
      <c r="K427" s="16">
        <v>3798.16</v>
      </c>
      <c r="L427" s="16"/>
      <c r="M427" s="16"/>
      <c r="N427" s="8"/>
    </row>
    <row r="428" spans="1:14" ht="20">
      <c r="A428" s="15" t="s">
        <v>80</v>
      </c>
      <c r="B428" s="16">
        <v>0</v>
      </c>
      <c r="C428" s="16">
        <v>0</v>
      </c>
      <c r="D428" s="16">
        <v>0</v>
      </c>
      <c r="E428" s="16">
        <v>0</v>
      </c>
      <c r="F428" s="16"/>
      <c r="G428" s="16"/>
      <c r="H428" s="16"/>
      <c r="I428" s="16"/>
      <c r="J428" s="16"/>
      <c r="K428" s="16"/>
      <c r="L428" s="16">
        <v>1645.65</v>
      </c>
      <c r="M428" s="16">
        <v>1338.14</v>
      </c>
      <c r="N428" s="8"/>
    </row>
    <row r="429" spans="1:14" ht="20">
      <c r="A429" s="17" t="s">
        <v>111</v>
      </c>
      <c r="B429" s="7"/>
      <c r="C429" s="7"/>
      <c r="D429" s="7"/>
      <c r="E429" s="16"/>
      <c r="F429" s="16"/>
      <c r="G429" s="16"/>
      <c r="H429" s="16"/>
      <c r="I429" s="16"/>
      <c r="J429" s="16"/>
      <c r="K429" s="16"/>
      <c r="L429" s="16"/>
      <c r="M429" s="16"/>
      <c r="N429" s="8"/>
    </row>
    <row r="430" spans="1:14" ht="19"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31"/>
    </row>
    <row r="431" spans="1:14" ht="19">
      <c r="A431" s="19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31"/>
    </row>
    <row r="432" spans="1:14" ht="19">
      <c r="A432" s="20" t="s">
        <v>112</v>
      </c>
      <c r="B432" s="16">
        <v>0</v>
      </c>
      <c r="C432" s="16">
        <v>0</v>
      </c>
      <c r="D432" s="16">
        <v>0</v>
      </c>
      <c r="E432" s="16">
        <v>0</v>
      </c>
      <c r="F432" s="16">
        <v>0</v>
      </c>
      <c r="G432" s="16">
        <v>500</v>
      </c>
      <c r="H432" s="16"/>
      <c r="I432" s="16"/>
      <c r="J432" s="16"/>
      <c r="K432" s="16"/>
      <c r="L432" s="16"/>
      <c r="M432" s="16"/>
      <c r="N432" s="31"/>
    </row>
    <row r="433" spans="1:14" ht="20">
      <c r="A433" s="15" t="s">
        <v>107</v>
      </c>
      <c r="B433" s="16">
        <v>365</v>
      </c>
      <c r="C433" s="16">
        <v>365</v>
      </c>
      <c r="D433" s="16">
        <v>379.6</v>
      </c>
      <c r="E433" s="16">
        <v>379.6</v>
      </c>
      <c r="F433" s="16">
        <v>379.6</v>
      </c>
      <c r="G433" s="16">
        <v>379.6</v>
      </c>
      <c r="H433" s="16">
        <v>379.6</v>
      </c>
      <c r="I433" s="16">
        <v>379.6</v>
      </c>
      <c r="J433" s="16">
        <v>379.6</v>
      </c>
      <c r="K433" s="16">
        <v>379.6</v>
      </c>
      <c r="L433" s="16"/>
      <c r="M433" s="16"/>
      <c r="N433" s="8"/>
    </row>
    <row r="434" spans="1:14" ht="20">
      <c r="A434" s="15" t="s">
        <v>16</v>
      </c>
      <c r="B434" s="16">
        <v>525.03</v>
      </c>
      <c r="C434" s="16">
        <v>525.03</v>
      </c>
      <c r="D434" s="16">
        <v>525.03</v>
      </c>
      <c r="E434" s="16">
        <v>525.03</v>
      </c>
      <c r="F434" s="16">
        <v>525.03</v>
      </c>
      <c r="G434" s="16">
        <v>585.41</v>
      </c>
      <c r="H434" s="16">
        <v>585.41</v>
      </c>
      <c r="I434" s="16">
        <v>585.41</v>
      </c>
      <c r="J434" s="16">
        <v>585.41</v>
      </c>
      <c r="K434" s="16">
        <v>585.41</v>
      </c>
      <c r="L434" s="16"/>
      <c r="M434" s="16"/>
      <c r="N434" s="8"/>
    </row>
    <row r="435" spans="1:14" ht="20">
      <c r="A435" s="15" t="s">
        <v>108</v>
      </c>
      <c r="B435" s="16">
        <v>391.81</v>
      </c>
      <c r="C435" s="16">
        <v>2393.4</v>
      </c>
      <c r="D435" s="16">
        <v>810.79</v>
      </c>
      <c r="E435" s="16">
        <v>2488.6</v>
      </c>
      <c r="F435" s="16">
        <v>2488.6</v>
      </c>
      <c r="G435" s="16">
        <v>2488.6</v>
      </c>
      <c r="H435" s="16">
        <v>2488.6</v>
      </c>
      <c r="I435" s="16">
        <v>2488.6</v>
      </c>
      <c r="J435" s="16">
        <v>2538.02</v>
      </c>
      <c r="K435" s="16">
        <v>1988.6</v>
      </c>
      <c r="L435" s="16"/>
      <c r="M435" s="16"/>
      <c r="N435" s="8"/>
    </row>
    <row r="436" spans="1:14" ht="20">
      <c r="A436" s="15" t="s">
        <v>113</v>
      </c>
      <c r="B436" s="16">
        <v>578.6</v>
      </c>
      <c r="C436" s="16">
        <v>578.6</v>
      </c>
      <c r="D436" s="16">
        <v>601.12</v>
      </c>
      <c r="E436" s="16">
        <v>601.12</v>
      </c>
      <c r="F436" s="16">
        <v>601.12</v>
      </c>
      <c r="G436" s="16">
        <v>601.12</v>
      </c>
      <c r="H436" s="16">
        <v>601.12</v>
      </c>
      <c r="I436" s="16">
        <v>601.12</v>
      </c>
      <c r="J436" s="16">
        <v>601.12</v>
      </c>
      <c r="K436" s="16">
        <v>601.12</v>
      </c>
      <c r="L436" s="16"/>
      <c r="M436" s="16"/>
      <c r="N436" s="8"/>
    </row>
    <row r="437" spans="1:14" ht="20">
      <c r="A437" s="15" t="s">
        <v>114</v>
      </c>
      <c r="B437" s="16">
        <v>233.2</v>
      </c>
      <c r="C437" s="16">
        <v>264</v>
      </c>
      <c r="D437" s="16">
        <v>528</v>
      </c>
      <c r="E437" s="16">
        <v>0</v>
      </c>
      <c r="F437" s="16">
        <v>528</v>
      </c>
      <c r="G437" s="16">
        <v>0</v>
      </c>
      <c r="H437" s="16"/>
      <c r="I437" s="16">
        <v>242</v>
      </c>
      <c r="J437" s="16">
        <v>242</v>
      </c>
      <c r="K437" s="16">
        <v>566</v>
      </c>
      <c r="L437" s="16"/>
      <c r="M437" s="16"/>
      <c r="N437" s="8"/>
    </row>
    <row r="438" spans="1:14" ht="20">
      <c r="A438" s="15" t="s">
        <v>115</v>
      </c>
      <c r="B438" s="16">
        <v>3286.22</v>
      </c>
      <c r="C438" s="16">
        <v>0</v>
      </c>
      <c r="D438" s="16">
        <v>0</v>
      </c>
      <c r="E438" s="16">
        <v>0</v>
      </c>
      <c r="F438" s="16">
        <v>0</v>
      </c>
      <c r="G438" s="16">
        <v>0</v>
      </c>
      <c r="H438" s="16"/>
      <c r="I438" s="16"/>
      <c r="J438" s="16"/>
      <c r="K438" s="16"/>
      <c r="L438" s="16"/>
      <c r="M438" s="16"/>
      <c r="N438" s="8"/>
    </row>
    <row r="439" spans="1:14" ht="20">
      <c r="A439" s="15" t="s">
        <v>116</v>
      </c>
      <c r="B439" s="16"/>
      <c r="C439" s="16"/>
      <c r="D439" s="16"/>
      <c r="E439" s="16"/>
      <c r="F439" s="16"/>
      <c r="G439" s="16"/>
      <c r="H439" s="16"/>
      <c r="I439" s="16"/>
      <c r="J439" s="16"/>
      <c r="K439" s="16">
        <v>5097.08</v>
      </c>
      <c r="L439" s="16"/>
      <c r="M439" s="16"/>
      <c r="N439" s="8"/>
    </row>
    <row r="440" spans="1:14" ht="20">
      <c r="A440" s="15" t="s">
        <v>81</v>
      </c>
      <c r="B440" s="16">
        <v>1302.54</v>
      </c>
      <c r="C440" s="16">
        <v>0</v>
      </c>
      <c r="D440" s="16">
        <v>0</v>
      </c>
      <c r="E440" s="16">
        <v>0</v>
      </c>
      <c r="F440" s="16">
        <v>0</v>
      </c>
      <c r="G440" s="16">
        <v>0</v>
      </c>
      <c r="H440" s="16"/>
      <c r="I440" s="16"/>
      <c r="J440" s="16"/>
      <c r="K440" s="16"/>
      <c r="L440" s="16"/>
      <c r="M440" s="16"/>
      <c r="N440" s="8"/>
    </row>
    <row r="441" spans="1:14" ht="20">
      <c r="A441" s="15" t="s">
        <v>80</v>
      </c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8"/>
    </row>
    <row r="442" spans="1:14" ht="20">
      <c r="A442" s="17" t="s">
        <v>117</v>
      </c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31"/>
    </row>
    <row r="443" spans="1:14" ht="19">
      <c r="A443" s="19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</row>
    <row r="444" spans="1:14" ht="19">
      <c r="A444" s="20" t="s">
        <v>118</v>
      </c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>
        <v>379.6</v>
      </c>
      <c r="M444" s="16">
        <v>379.6</v>
      </c>
      <c r="N444" s="8"/>
    </row>
    <row r="445" spans="1:14" ht="20">
      <c r="A445" s="15" t="s">
        <v>16</v>
      </c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6">
        <v>585.41</v>
      </c>
      <c r="M445" s="16">
        <v>585.41</v>
      </c>
      <c r="N445" s="8"/>
    </row>
    <row r="446" spans="1:14" ht="20">
      <c r="A446" s="15" t="s">
        <v>108</v>
      </c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6">
        <v>3886.49</v>
      </c>
      <c r="M446" s="16">
        <v>3511.84</v>
      </c>
      <c r="N446" s="8"/>
    </row>
    <row r="447" spans="1:14" ht="20">
      <c r="A447" s="15" t="s">
        <v>113</v>
      </c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6">
        <v>601.12</v>
      </c>
      <c r="M447" s="16">
        <v>601.12</v>
      </c>
      <c r="N447" s="8"/>
    </row>
    <row r="448" spans="1:14" s="51" customFormat="1" ht="20">
      <c r="A448" s="15" t="s">
        <v>114</v>
      </c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8"/>
    </row>
    <row r="449" spans="1:15" ht="20">
      <c r="A449" s="15" t="s">
        <v>80</v>
      </c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6">
        <v>500</v>
      </c>
      <c r="M449" s="16">
        <v>425</v>
      </c>
      <c r="N449" s="8"/>
    </row>
    <row r="450" spans="1:15" ht="19"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</row>
    <row r="451" spans="1:15" ht="19"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 spans="1:15" ht="20">
      <c r="A452" s="17" t="s">
        <v>119</v>
      </c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31"/>
    </row>
    <row r="453" spans="1:15" ht="19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</row>
    <row r="454" spans="1:15" ht="20">
      <c r="A454" s="15" t="s">
        <v>120</v>
      </c>
      <c r="B454" s="16">
        <v>2540</v>
      </c>
      <c r="C454" s="16">
        <v>2540</v>
      </c>
      <c r="D454" s="16">
        <v>2667</v>
      </c>
      <c r="E454" s="16">
        <v>2667</v>
      </c>
      <c r="F454" s="16">
        <v>2667</v>
      </c>
      <c r="G454" s="16">
        <v>2667</v>
      </c>
      <c r="H454" s="16">
        <v>2667</v>
      </c>
      <c r="I454" s="16">
        <v>2667</v>
      </c>
      <c r="J454" s="16">
        <v>2667</v>
      </c>
      <c r="K454" s="16">
        <v>2667</v>
      </c>
      <c r="L454" s="16">
        <v>2667</v>
      </c>
      <c r="M454" s="16">
        <v>2667</v>
      </c>
      <c r="N454" s="8"/>
    </row>
    <row r="455" spans="1:15" ht="19">
      <c r="A455" s="21" t="s">
        <v>121</v>
      </c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 spans="1:15" ht="19">
      <c r="B456" s="8">
        <f>SUM(B421:B455)</f>
        <v>13551.600000000002</v>
      </c>
      <c r="C456" s="8">
        <f t="shared" ref="C456:E456" si="10">SUM(C421:C455)</f>
        <v>11000.65</v>
      </c>
      <c r="D456" s="8">
        <f t="shared" si="10"/>
        <v>11985.18</v>
      </c>
      <c r="E456" s="8">
        <f t="shared" si="10"/>
        <v>10134.989999999998</v>
      </c>
      <c r="F456" s="8">
        <f t="shared" ref="F456:M456" si="11">SUM(F421:F455)</f>
        <v>11678.92</v>
      </c>
      <c r="G456" s="8">
        <f t="shared" si="11"/>
        <v>10771.650000000001</v>
      </c>
      <c r="H456" s="8">
        <f t="shared" si="11"/>
        <v>11271.650000000001</v>
      </c>
      <c r="I456" s="8">
        <f t="shared" si="11"/>
        <v>11513.650000000001</v>
      </c>
      <c r="J456" s="8">
        <f t="shared" si="11"/>
        <v>11563.070000000002</v>
      </c>
      <c r="K456" s="8">
        <f t="shared" si="11"/>
        <v>20232.89</v>
      </c>
      <c r="L456" s="8">
        <f t="shared" si="11"/>
        <v>14815.19</v>
      </c>
      <c r="M456" s="8">
        <f t="shared" si="11"/>
        <v>14058.03</v>
      </c>
      <c r="N456" s="54">
        <f>SUM(B456:M456)</f>
        <v>152577.46999999997</v>
      </c>
      <c r="O456" s="1">
        <f>SUM(N456+N317+N413+N300+N61)</f>
        <v>596489.39</v>
      </c>
    </row>
    <row r="457" spans="1:15" ht="20">
      <c r="A457" s="26" t="s">
        <v>423</v>
      </c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31"/>
    </row>
    <row r="458" spans="1:15" ht="20">
      <c r="A458" s="15" t="s">
        <v>122</v>
      </c>
      <c r="B458" s="16">
        <v>6244.01</v>
      </c>
      <c r="C458" s="7">
        <v>4742.01</v>
      </c>
      <c r="D458" s="7">
        <v>4356.01</v>
      </c>
      <c r="E458" s="16">
        <v>5242.01</v>
      </c>
      <c r="F458" s="7">
        <v>4504.01</v>
      </c>
      <c r="G458" s="7">
        <v>4503.01</v>
      </c>
      <c r="H458" s="34">
        <v>7622.01</v>
      </c>
      <c r="I458" s="34">
        <v>4921.01</v>
      </c>
      <c r="J458" s="34">
        <v>6428.68</v>
      </c>
      <c r="K458" s="34">
        <v>4218.01</v>
      </c>
      <c r="L458" s="34">
        <v>6510.01</v>
      </c>
      <c r="M458" s="34">
        <v>7088.23</v>
      </c>
      <c r="N458" s="8">
        <f>SUM(B458:M458)</f>
        <v>66379.010000000009</v>
      </c>
    </row>
    <row r="459" spans="1:15" ht="20">
      <c r="A459" s="15" t="s">
        <v>123</v>
      </c>
      <c r="B459" s="16">
        <v>20815.77</v>
      </c>
      <c r="C459" s="7">
        <v>15707.74</v>
      </c>
      <c r="D459" s="16">
        <v>15122.3</v>
      </c>
      <c r="E459" s="16">
        <v>17474.55</v>
      </c>
      <c r="F459" s="16">
        <v>15379.34</v>
      </c>
      <c r="G459" s="7">
        <v>15011.13</v>
      </c>
      <c r="H459" s="34">
        <v>25407.53</v>
      </c>
      <c r="I459" s="34">
        <v>16404.669999999998</v>
      </c>
      <c r="J459" s="34">
        <v>21428.95</v>
      </c>
      <c r="K459" s="34">
        <v>14060.41</v>
      </c>
      <c r="L459" s="34">
        <v>21699.25</v>
      </c>
      <c r="M459" s="34">
        <v>23627.43</v>
      </c>
      <c r="N459" s="8">
        <f>SUM(B459:M459)</f>
        <v>222139.07</v>
      </c>
    </row>
    <row r="460" spans="1:15" ht="20">
      <c r="A460" s="32" t="s">
        <v>124</v>
      </c>
      <c r="B460" s="8">
        <f>SUM(B458:B459)</f>
        <v>27059.78</v>
      </c>
      <c r="C460" s="8">
        <f t="shared" ref="C460:M460" si="12">SUM(C458:C459)</f>
        <v>20449.75</v>
      </c>
      <c r="D460" s="8">
        <f t="shared" si="12"/>
        <v>19478.309999999998</v>
      </c>
      <c r="E460" s="8">
        <f t="shared" si="12"/>
        <v>22716.559999999998</v>
      </c>
      <c r="F460" s="8">
        <f t="shared" si="12"/>
        <v>19883.349999999999</v>
      </c>
      <c r="G460" s="8">
        <f t="shared" si="12"/>
        <v>19514.14</v>
      </c>
      <c r="H460" s="8">
        <f t="shared" si="12"/>
        <v>33029.54</v>
      </c>
      <c r="I460" s="8">
        <f t="shared" si="12"/>
        <v>21325.68</v>
      </c>
      <c r="J460" s="8">
        <f t="shared" si="12"/>
        <v>27857.63</v>
      </c>
      <c r="K460" s="8">
        <f t="shared" si="12"/>
        <v>18278.419999999998</v>
      </c>
      <c r="L460" s="8">
        <f t="shared" si="12"/>
        <v>28209.260000000002</v>
      </c>
      <c r="M460" s="8">
        <f t="shared" si="12"/>
        <v>30715.66</v>
      </c>
      <c r="N460" s="8"/>
    </row>
    <row r="461" spans="1:15" ht="19">
      <c r="A461" s="32"/>
      <c r="B461" s="16"/>
      <c r="C461" s="16"/>
      <c r="D461" s="52"/>
      <c r="E461" s="16"/>
      <c r="F461" s="52"/>
      <c r="G461" s="16"/>
      <c r="H461" s="52"/>
      <c r="I461" s="52"/>
      <c r="J461" s="16"/>
      <c r="K461" s="16"/>
      <c r="L461" s="52"/>
      <c r="M461" s="16"/>
      <c r="N461" s="31"/>
    </row>
    <row r="466" spans="1:14" ht="20">
      <c r="A466" s="17" t="s">
        <v>12</v>
      </c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</row>
    <row r="467" spans="1:14" ht="40">
      <c r="A467" s="15" t="s">
        <v>29</v>
      </c>
      <c r="B467" s="16">
        <v>1899.52</v>
      </c>
      <c r="C467" s="16">
        <v>1899.3</v>
      </c>
      <c r="D467" s="16">
        <v>1899.3</v>
      </c>
      <c r="E467" s="16">
        <v>0</v>
      </c>
      <c r="F467" s="16">
        <v>0</v>
      </c>
      <c r="G467" s="16">
        <v>0</v>
      </c>
      <c r="H467" s="16"/>
      <c r="I467" s="16"/>
      <c r="J467" s="16"/>
      <c r="K467" s="16"/>
      <c r="L467" s="16"/>
      <c r="M467" s="16"/>
    </row>
    <row r="468" spans="1:14" ht="20">
      <c r="A468" s="15" t="s">
        <v>30</v>
      </c>
      <c r="B468" s="16">
        <v>0</v>
      </c>
      <c r="C468" s="16">
        <v>0</v>
      </c>
      <c r="D468" s="16">
        <v>0</v>
      </c>
      <c r="E468" s="16">
        <v>0</v>
      </c>
      <c r="F468" s="16">
        <v>0</v>
      </c>
      <c r="G468" s="16">
        <v>701.93</v>
      </c>
      <c r="H468" s="16"/>
      <c r="I468" s="16"/>
      <c r="J468" s="16"/>
      <c r="K468" s="16"/>
      <c r="L468" s="16"/>
      <c r="M468" s="16"/>
    </row>
    <row r="469" spans="1:14" ht="20">
      <c r="A469" s="15" t="s">
        <v>31</v>
      </c>
      <c r="B469" s="16">
        <v>0</v>
      </c>
      <c r="C469" s="16">
        <v>0</v>
      </c>
      <c r="D469" s="16">
        <v>0</v>
      </c>
      <c r="E469" s="16">
        <v>0</v>
      </c>
      <c r="F469" s="16">
        <v>0</v>
      </c>
      <c r="G469" s="16">
        <v>377.67</v>
      </c>
      <c r="H469" s="16"/>
      <c r="I469" s="16"/>
      <c r="J469" s="16"/>
      <c r="K469" s="16"/>
      <c r="L469" s="16"/>
      <c r="M469" s="16"/>
    </row>
    <row r="470" spans="1:14" ht="20">
      <c r="A470" s="15" t="s">
        <v>32</v>
      </c>
      <c r="B470" s="16">
        <v>0</v>
      </c>
      <c r="C470" s="16">
        <v>0</v>
      </c>
      <c r="D470" s="16">
        <v>0</v>
      </c>
      <c r="E470" s="16">
        <v>0</v>
      </c>
      <c r="F470" s="16">
        <v>0</v>
      </c>
      <c r="G470" s="16">
        <v>357.28</v>
      </c>
      <c r="H470" s="16"/>
      <c r="I470" s="16"/>
      <c r="J470" s="16"/>
      <c r="K470" s="16"/>
      <c r="L470" s="16"/>
      <c r="M470" s="16"/>
    </row>
    <row r="471" spans="1:14" ht="20">
      <c r="A471" s="15" t="s">
        <v>33</v>
      </c>
      <c r="B471" s="16">
        <v>96</v>
      </c>
      <c r="C471" s="16">
        <v>0</v>
      </c>
      <c r="D471" s="16">
        <v>0</v>
      </c>
      <c r="E471" s="16">
        <v>0</v>
      </c>
      <c r="F471" s="16">
        <v>0</v>
      </c>
      <c r="G471" s="16">
        <v>0</v>
      </c>
      <c r="H471" s="16"/>
      <c r="I471" s="16"/>
      <c r="J471" s="16"/>
      <c r="K471" s="16"/>
      <c r="L471" s="16"/>
      <c r="M471" s="16"/>
    </row>
    <row r="472" spans="1:14" ht="20">
      <c r="A472" s="15" t="s">
        <v>34</v>
      </c>
      <c r="B472" s="16">
        <v>0</v>
      </c>
      <c r="C472" s="16">
        <v>0</v>
      </c>
      <c r="D472" s="16">
        <v>212.5</v>
      </c>
      <c r="E472" s="16">
        <v>294.64999999999998</v>
      </c>
      <c r="F472" s="16">
        <v>0</v>
      </c>
      <c r="G472" s="16">
        <v>0</v>
      </c>
      <c r="H472" s="16"/>
      <c r="I472" s="16"/>
      <c r="J472" s="16"/>
      <c r="K472" s="16"/>
      <c r="L472" s="16"/>
      <c r="M472" s="16"/>
    </row>
    <row r="473" spans="1:14" ht="20">
      <c r="A473" s="15" t="s">
        <v>35</v>
      </c>
      <c r="B473" s="16">
        <v>0</v>
      </c>
      <c r="C473" s="16">
        <v>0</v>
      </c>
      <c r="D473" s="16">
        <v>218.4</v>
      </c>
      <c r="E473" s="16">
        <v>0</v>
      </c>
      <c r="F473" s="16">
        <v>0</v>
      </c>
      <c r="G473" s="16">
        <v>0</v>
      </c>
      <c r="H473" s="16"/>
      <c r="I473" s="16"/>
      <c r="J473" s="16"/>
      <c r="K473" s="16"/>
      <c r="L473" s="16"/>
      <c r="M473" s="16"/>
    </row>
    <row r="474" spans="1:14" ht="20">
      <c r="A474" s="15" t="s">
        <v>36</v>
      </c>
      <c r="B474" s="16">
        <v>0</v>
      </c>
      <c r="C474" s="16">
        <v>995.85</v>
      </c>
      <c r="D474" s="16">
        <v>995.84</v>
      </c>
      <c r="E474" s="16">
        <v>995.84</v>
      </c>
      <c r="F474" s="16">
        <v>0</v>
      </c>
      <c r="G474" s="16">
        <v>0</v>
      </c>
      <c r="H474" s="16"/>
      <c r="I474" s="16"/>
      <c r="J474" s="16"/>
      <c r="K474" s="16"/>
      <c r="L474" s="16"/>
      <c r="M474" s="16"/>
    </row>
    <row r="475" spans="1:14" ht="20">
      <c r="A475" s="15" t="s">
        <v>37</v>
      </c>
      <c r="B475" s="16">
        <v>0</v>
      </c>
      <c r="C475" s="16">
        <v>136.68</v>
      </c>
      <c r="D475" s="16">
        <v>0</v>
      </c>
      <c r="E475" s="16">
        <v>0</v>
      </c>
      <c r="F475" s="16">
        <v>0</v>
      </c>
      <c r="G475" s="16">
        <v>0</v>
      </c>
      <c r="H475" s="16"/>
      <c r="I475" s="16"/>
      <c r="J475" s="16"/>
      <c r="K475" s="16"/>
      <c r="L475" s="16"/>
      <c r="M475" s="16"/>
    </row>
    <row r="476" spans="1:14" ht="20">
      <c r="A476" s="15" t="s">
        <v>38</v>
      </c>
      <c r="B476" s="16">
        <v>0</v>
      </c>
      <c r="C476" s="16">
        <v>262.3</v>
      </c>
      <c r="D476" s="16">
        <v>60.48</v>
      </c>
      <c r="E476" s="16">
        <v>0</v>
      </c>
      <c r="F476" s="16">
        <v>0</v>
      </c>
      <c r="G476" s="16">
        <v>0</v>
      </c>
      <c r="H476" s="16"/>
      <c r="I476" s="16"/>
      <c r="J476" s="16"/>
      <c r="K476" s="16"/>
      <c r="L476" s="16"/>
      <c r="M476" s="16"/>
    </row>
    <row r="477" spans="1:14" ht="20">
      <c r="A477" s="15" t="s">
        <v>39</v>
      </c>
      <c r="B477" s="16">
        <v>0</v>
      </c>
      <c r="C477" s="16">
        <v>417.56</v>
      </c>
      <c r="D477" s="16">
        <v>417.56</v>
      </c>
      <c r="E477" s="16">
        <v>0</v>
      </c>
      <c r="F477" s="16">
        <v>0</v>
      </c>
      <c r="G477" s="16">
        <v>0</v>
      </c>
      <c r="H477" s="16"/>
      <c r="I477" s="16"/>
      <c r="J477" s="16"/>
      <c r="K477" s="16"/>
      <c r="L477" s="16"/>
      <c r="M477" s="16"/>
    </row>
    <row r="478" spans="1:14" ht="20">
      <c r="A478" s="15" t="s">
        <v>40</v>
      </c>
      <c r="B478" s="16">
        <v>0</v>
      </c>
      <c r="C478" s="16">
        <v>0</v>
      </c>
      <c r="D478" s="16">
        <v>0</v>
      </c>
      <c r="E478" s="16">
        <v>1182.0899999999999</v>
      </c>
      <c r="F478" s="16">
        <v>0</v>
      </c>
      <c r="G478" s="16">
        <v>0</v>
      </c>
      <c r="H478" s="16"/>
      <c r="I478" s="16"/>
      <c r="J478" s="16"/>
      <c r="K478" s="16"/>
      <c r="L478" s="16"/>
      <c r="M478" s="16"/>
    </row>
    <row r="479" spans="1:14" ht="20">
      <c r="A479" s="33" t="s">
        <v>424</v>
      </c>
      <c r="B479" s="1">
        <f>SUM(B467:B478)</f>
        <v>1995.52</v>
      </c>
      <c r="C479" s="1">
        <f t="shared" ref="C479:E479" si="13">SUM(C467:C478)</f>
        <v>3711.69</v>
      </c>
      <c r="D479" s="1">
        <f t="shared" si="13"/>
        <v>3804.0800000000004</v>
      </c>
      <c r="E479" s="1">
        <f t="shared" si="13"/>
        <v>2472.58</v>
      </c>
      <c r="F479" s="1">
        <f>SUM(F467:F478)</f>
        <v>0</v>
      </c>
      <c r="G479" s="1">
        <f t="shared" ref="G479:H479" si="14">SUM(G467:G478)</f>
        <v>1436.8799999999999</v>
      </c>
      <c r="H479" s="1">
        <f t="shared" si="14"/>
        <v>0</v>
      </c>
      <c r="I479" s="16">
        <v>2603.61</v>
      </c>
      <c r="J479" s="16">
        <v>2049.48</v>
      </c>
      <c r="K479" s="16">
        <v>2775.45</v>
      </c>
      <c r="L479" s="16">
        <v>2049.92</v>
      </c>
      <c r="M479" s="16">
        <v>1120</v>
      </c>
      <c r="N479" s="8">
        <f>SUM(B479:M479)</f>
        <v>24019.21</v>
      </c>
    </row>
    <row r="484" spans="1:14" ht="20">
      <c r="A484" s="53" t="s">
        <v>425</v>
      </c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>
        <f>SUM(N2:N481)</f>
        <v>4448577.84</v>
      </c>
    </row>
    <row r="485" spans="1:14" ht="20" customHeight="1"/>
    <row r="511" ht="19" customHeight="1"/>
    <row r="514" ht="20" customHeight="1"/>
    <row r="515" ht="24" customHeight="1"/>
    <row r="516" ht="24" customHeight="1"/>
    <row r="517" ht="23" customHeight="1"/>
    <row r="518" ht="23" customHeight="1"/>
  </sheetData>
  <pageMargins left="0.25" right="0.25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Despesas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IPB Rio Preto</dc:creator>
  <cp:keywords/>
  <dc:description/>
  <cp:lastModifiedBy>Abner Santana</cp:lastModifiedBy>
  <cp:revision/>
  <dcterms:created xsi:type="dcterms:W3CDTF">2025-02-04T17:41:59Z</dcterms:created>
  <dcterms:modified xsi:type="dcterms:W3CDTF">2026-01-09T23:29:47Z</dcterms:modified>
  <cp:category/>
  <cp:contentStatus/>
</cp:coreProperties>
</file>